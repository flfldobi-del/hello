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artments" sheetId="2" state="visible" r:id="rId2"/>
    <sheet name="Turnover Plan" sheetId="3" state="visible" r:id="rId3"/>
    <sheet name="History" sheetId="4" state="visible" r:id="rId4"/>
    <sheet name="Instructions" sheetId="5" state="visible" r:id="rId5"/>
  </sheets>
  <definedNames>
    <definedName name="_xlnm.Print_Titles" localSheetId="0">'Overview'!$11:$11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DD.MM.YYYY"/>
    <numFmt numFmtId="167" formatCode="0.0"/>
    <numFmt numFmtId="168" formatCode="&quot;€&quot;#,##0.00&quot;/month&quot;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b val="1"/>
      <color rgb="001F4E79"/>
      <sz val="16"/>
    </font>
    <font>
      <name val="Calibri"/>
      <b val="1"/>
      <color rgb="002E75B6"/>
      <sz val="12"/>
    </font>
    <font>
      <name val="Calibri"/>
      <color rgb="00444444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33333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C65911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167" fontId="8" fillId="0" borderId="1" applyAlignment="1" pivotButton="0" quotePrefix="0" xfId="0">
      <alignment horizontal="center" vertical="center" wrapText="1"/>
    </xf>
    <xf numFmtId="0" fontId="10" fillId="3" borderId="1" pivotButton="0" quotePrefix="0" xfId="0"/>
    <xf numFmtId="1" fontId="10" fillId="3" borderId="1" pivotButton="0" quotePrefix="0" xfId="0"/>
    <xf numFmtId="4" fontId="10" fillId="3" borderId="1" pivotButton="0" quotePrefix="0" xfId="0"/>
    <xf numFmtId="0" fontId="9" fillId="0" borderId="0" pivotButton="0" quotePrefix="0" xfId="0"/>
    <xf numFmtId="168" fontId="11" fillId="0" borderId="0" pivotButton="0" quotePrefix="0" xfId="0"/>
    <xf numFmtId="168" fontId="12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1" customWidth="1" min="4" max="4"/>
    <col width="15" customWidth="1" min="5" max="5"/>
    <col width="14" customWidth="1" min="6" max="6"/>
    <col width="18" customWidth="1" min="7" max="7"/>
    <col width="14" customWidth="1" min="8" max="8"/>
    <col width="16" customWidth="1" min="9" max="9"/>
    <col width="14" customWidth="1" min="10" max="10"/>
    <col width="28" customWidth="1" min="11" max="11"/>
  </cols>
  <sheetData>
    <row r="2" ht="28" customHeight="1">
      <c r="B2" s="1" t="inlineStr">
        <is>
          <t>House Occupancy Overview — 14 Apartments</t>
        </is>
      </c>
    </row>
    <row r="3">
      <c r="B3" s="2" t="inlineStr">
        <is>
          <t>Live status of every apartment · Formulas update Occupied For automatically · As of 03.08.2026</t>
        </is>
      </c>
    </row>
    <row r="5">
      <c r="B5" s="3" t="inlineStr">
        <is>
          <t>Total Units</t>
        </is>
      </c>
      <c r="C5" s="4" t="n"/>
      <c r="D5" s="3" t="inlineStr">
        <is>
          <t>Occupied</t>
        </is>
      </c>
      <c r="E5" s="4" t="n"/>
      <c r="F5" s="3" t="inlineStr">
        <is>
          <t>Vacant</t>
        </is>
      </c>
      <c r="G5" s="4" t="n"/>
      <c r="H5" s="3" t="inlineStr">
        <is>
          <t>Notice Given</t>
        </is>
      </c>
      <c r="I5" s="4" t="n"/>
      <c r="J5" s="3" t="inlineStr">
        <is>
          <t>Occupancy Rate</t>
        </is>
      </c>
      <c r="K5" s="4" t="n"/>
    </row>
    <row r="6">
      <c r="B6" s="5">
        <f>COUNTA(B12:B25)</f>
        <v/>
      </c>
      <c r="C6" s="4" t="n"/>
      <c r="D6" s="5">
        <f>COUNTIF(F12:F25,"Occupied")</f>
        <v/>
      </c>
      <c r="E6" s="4" t="n"/>
      <c r="F6" s="5">
        <f>COUNTIF(F12:F25,"Vacant")</f>
        <v/>
      </c>
      <c r="G6" s="4" t="n"/>
      <c r="H6" s="5">
        <f>COUNTIF(F12:F25,"Notice Given")</f>
        <v/>
      </c>
      <c r="I6" s="4" t="n"/>
      <c r="J6" s="6">
        <f>IF(B6=0,0,D6/B6)</f>
        <v/>
      </c>
      <c r="K6" s="4" t="n"/>
    </row>
    <row r="8">
      <c r="B8" s="7" t="inlineStr">
        <is>
          <t>How to use</t>
        </is>
      </c>
    </row>
    <row r="9" ht="48" customHeight="1">
      <c r="B9" s="8" t="inlineStr">
        <is>
          <t>1) Set Status to Occupied, Vacant, or Notice Given (dropdown).  2) Fill Tenant Name + Move-in Date — column Occupied For calculates automatically.  3) When someone moves out: copy the row into History, then clear tenant fields and set Vacant.  4) Edit fixed apartment details (size/rent/floor) on the Apartments sheet — they sync here via formula where noted.</t>
        </is>
      </c>
    </row>
    <row r="11">
      <c r="B11" s="9" t="inlineStr">
        <is>
          <t>Apt #</t>
        </is>
      </c>
      <c r="C11" s="9" t="inlineStr">
        <is>
          <t>Floor</t>
        </is>
      </c>
      <c r="D11" s="9" t="inlineStr">
        <is>
          <t>Size (m²)</t>
        </is>
      </c>
      <c r="E11" s="9" t="inlineStr">
        <is>
          <t>Monthly Rent (€)</t>
        </is>
      </c>
      <c r="F11" s="9" t="inlineStr">
        <is>
          <t>Status</t>
        </is>
      </c>
      <c r="G11" s="9" t="inlineStr">
        <is>
          <t>Tenant Name</t>
        </is>
      </c>
      <c r="H11" s="9" t="inlineStr">
        <is>
          <t>Move-in Date</t>
        </is>
      </c>
      <c r="I11" s="9" t="inlineStr">
        <is>
          <t>Lease End / Notice</t>
        </is>
      </c>
      <c r="J11" s="9" t="inlineStr">
        <is>
          <t>Occupied For</t>
        </is>
      </c>
      <c r="K11" s="9" t="inlineStr">
        <is>
          <t>Notes / Next Action</t>
        </is>
      </c>
    </row>
    <row r="12" ht="22" customHeight="1">
      <c r="B12" s="10" t="n">
        <v>1</v>
      </c>
      <c r="C12" s="10" t="inlineStr">
        <is>
          <t>EG</t>
        </is>
      </c>
      <c r="D12" s="11" t="n">
        <v>42</v>
      </c>
      <c r="E12" s="12" t="n">
        <v>650</v>
      </c>
      <c r="F12" s="10" t="inlineStr">
        <is>
          <t>Occupied</t>
        </is>
      </c>
      <c r="G12" s="10" t="inlineStr">
        <is>
          <t>Müller, Anna</t>
        </is>
      </c>
      <c r="H12" s="13" t="n">
        <v>44986</v>
      </c>
      <c r="I12" s="13" t="n">
        <v>46081</v>
      </c>
      <c r="J12" s="10">
        <f>IF(OR(F12="Vacant",H12=""),"—",DATEDIF(H12,TODAY(),"Y")&amp;"y "&amp;DATEDIF(H12,TODAY(),"YM")&amp;"m "&amp;DATEDIF(H12,TODAY(),"MD")&amp;"d")</f>
        <v/>
      </c>
      <c r="K12" s="14" t="inlineStr">
        <is>
          <t>Lease renews annually</t>
        </is>
      </c>
    </row>
    <row r="13" ht="22" customHeight="1">
      <c r="B13" s="10" t="n">
        <v>2</v>
      </c>
      <c r="C13" s="10" t="inlineStr">
        <is>
          <t>EG</t>
        </is>
      </c>
      <c r="D13" s="11" t="n">
        <v>38</v>
      </c>
      <c r="E13" s="12" t="n">
        <v>590</v>
      </c>
      <c r="F13" s="10" t="inlineStr">
        <is>
          <t>Vacant</t>
        </is>
      </c>
      <c r="G13" s="10" t="n"/>
      <c r="H13" s="13" t="n"/>
      <c r="I13" s="13" t="n"/>
      <c r="J13" s="10">
        <f>IF(OR(F13="Vacant",H13=""),"—",DATEDIF(H13,TODAY(),"Y")&amp;"y "&amp;DATEDIF(H13,TODAY(),"YM")&amp;"m "&amp;DATEDIF(H13,TODAY(),"MD")&amp;"d")</f>
        <v/>
      </c>
      <c r="K13" s="14" t="inlineStr">
        <is>
          <t>Available immediately</t>
        </is>
      </c>
    </row>
    <row r="14" ht="22" customHeight="1">
      <c r="B14" s="10" t="n">
        <v>3</v>
      </c>
      <c r="C14" s="10" t="inlineStr">
        <is>
          <t>EG</t>
        </is>
      </c>
      <c r="D14" s="11" t="n">
        <v>55</v>
      </c>
      <c r="E14" s="12" t="n">
        <v>820</v>
      </c>
      <c r="F14" s="10" t="inlineStr">
        <is>
          <t>Occupied</t>
        </is>
      </c>
      <c r="G14" s="10" t="inlineStr">
        <is>
          <t>Schmidt, Thomas</t>
        </is>
      </c>
      <c r="H14" s="13" t="n">
        <v>45458</v>
      </c>
      <c r="I14" s="13" t="n">
        <v>46187</v>
      </c>
      <c r="J14" s="10">
        <f>IF(OR(F14="Vacant",H14=""),"—",DATEDIF(H14,TODAY(),"Y")&amp;"y "&amp;DATEDIF(H14,TODAY(),"YM")&amp;"m "&amp;DATEDIF(H14,TODAY(),"MD")&amp;"d")</f>
        <v/>
      </c>
      <c r="K14" s="14" t="n"/>
    </row>
    <row r="15" ht="22" customHeight="1">
      <c r="B15" s="10" t="n">
        <v>4</v>
      </c>
      <c r="C15" s="10" t="inlineStr">
        <is>
          <t>1. OG</t>
        </is>
      </c>
      <c r="D15" s="11" t="n">
        <v>48</v>
      </c>
      <c r="E15" s="12" t="n">
        <v>720</v>
      </c>
      <c r="F15" s="10" t="inlineStr">
        <is>
          <t>Notice Given</t>
        </is>
      </c>
      <c r="G15" s="10" t="inlineStr">
        <is>
          <t>Weber, Lisa</t>
        </is>
      </c>
      <c r="H15" s="13" t="n">
        <v>44805</v>
      </c>
      <c r="I15" s="13" t="n">
        <v>46265</v>
      </c>
      <c r="J15" s="10">
        <f>IF(OR(F15="Vacant",H15=""),"—",DATEDIF(H15,TODAY(),"Y")&amp;"y "&amp;DATEDIF(H15,TODAY(),"YM")&amp;"m "&amp;DATEDIF(H15,TODAY(),"MD")&amp;"d")</f>
        <v/>
      </c>
      <c r="K15" s="14" t="inlineStr">
        <is>
          <t>Moving out end of Aug</t>
        </is>
      </c>
    </row>
    <row r="16" ht="22" customHeight="1">
      <c r="B16" s="10" t="n">
        <v>5</v>
      </c>
      <c r="C16" s="10" t="inlineStr">
        <is>
          <t>1. OG</t>
        </is>
      </c>
      <c r="D16" s="11" t="n">
        <v>52</v>
      </c>
      <c r="E16" s="12" t="n">
        <v>780</v>
      </c>
      <c r="F16" s="10" t="inlineStr">
        <is>
          <t>Occupied</t>
        </is>
      </c>
      <c r="G16" s="10" t="inlineStr">
        <is>
          <t>Fischer, Markus</t>
        </is>
      </c>
      <c r="H16" s="13" t="n">
        <v>45658</v>
      </c>
      <c r="I16" s="13" t="n">
        <v>46387</v>
      </c>
      <c r="J16" s="10">
        <f>IF(OR(F16="Vacant",H16=""),"—",DATEDIF(H16,TODAY(),"Y")&amp;"y "&amp;DATEDIF(H16,TODAY(),"YM")&amp;"m "&amp;DATEDIF(H16,TODAY(),"MD")&amp;"d")</f>
        <v/>
      </c>
      <c r="K16" s="14" t="n"/>
    </row>
    <row r="17" ht="22" customHeight="1">
      <c r="B17" s="10" t="n">
        <v>6</v>
      </c>
      <c r="C17" s="10" t="inlineStr">
        <is>
          <t>1. OG</t>
        </is>
      </c>
      <c r="D17" s="11" t="n">
        <v>36</v>
      </c>
      <c r="E17" s="12" t="n">
        <v>560</v>
      </c>
      <c r="F17" s="10" t="inlineStr">
        <is>
          <t>Vacant</t>
        </is>
      </c>
      <c r="G17" s="10" t="n"/>
      <c r="H17" s="13" t="n"/>
      <c r="I17" s="13" t="n"/>
      <c r="J17" s="10">
        <f>IF(OR(F17="Vacant",H17=""),"—",DATEDIF(H17,TODAY(),"Y")&amp;"y "&amp;DATEDIF(H17,TODAY(),"YM")&amp;"m "&amp;DATEDIF(H17,TODAY(),"MD")&amp;"d")</f>
        <v/>
      </c>
      <c r="K17" s="14" t="inlineStr">
        <is>
          <t>Repainting until mid-month</t>
        </is>
      </c>
    </row>
    <row r="18" ht="22" customHeight="1">
      <c r="B18" s="10" t="n">
        <v>7</v>
      </c>
      <c r="C18" s="10" t="inlineStr">
        <is>
          <t>2. OG</t>
        </is>
      </c>
      <c r="D18" s="11" t="n">
        <v>60</v>
      </c>
      <c r="E18" s="12" t="n">
        <v>890</v>
      </c>
      <c r="F18" s="10" t="inlineStr">
        <is>
          <t>Occupied</t>
        </is>
      </c>
      <c r="G18" s="10" t="inlineStr">
        <is>
          <t>Becker Family</t>
        </is>
      </c>
      <c r="H18" s="13" t="n">
        <v>44317</v>
      </c>
      <c r="I18" s="13" t="n">
        <v>46507</v>
      </c>
      <c r="J18" s="10">
        <f>IF(OR(F18="Vacant",H18=""),"—",DATEDIF(H18,TODAY(),"Y")&amp;"y "&amp;DATEDIF(H18,TODAY(),"YM")&amp;"m "&amp;DATEDIF(H18,TODAY(),"MD")&amp;"d")</f>
        <v/>
      </c>
      <c r="K18" s="14" t="inlineStr">
        <is>
          <t>Long-term tenants</t>
        </is>
      </c>
    </row>
    <row r="19" ht="22" customHeight="1">
      <c r="B19" s="10" t="n">
        <v>8</v>
      </c>
      <c r="C19" s="10" t="inlineStr">
        <is>
          <t>2. OG</t>
        </is>
      </c>
      <c r="D19" s="11" t="n">
        <v>45</v>
      </c>
      <c r="E19" s="12" t="n">
        <v>680</v>
      </c>
      <c r="F19" s="10" t="inlineStr">
        <is>
          <t>Occupied</t>
        </is>
      </c>
      <c r="G19" s="10" t="inlineStr">
        <is>
          <t>Hoffmann, Julia</t>
        </is>
      </c>
      <c r="H19" s="13" t="n">
        <v>45597</v>
      </c>
      <c r="I19" s="13" t="n">
        <v>46326</v>
      </c>
      <c r="J19" s="10">
        <f>IF(OR(F19="Vacant",H19=""),"—",DATEDIF(H19,TODAY(),"Y")&amp;"y "&amp;DATEDIF(H19,TODAY(),"YM")&amp;"m "&amp;DATEDIF(H19,TODAY(),"MD")&amp;"d")</f>
        <v/>
      </c>
      <c r="K19" s="14" t="n"/>
    </row>
    <row r="20" ht="22" customHeight="1">
      <c r="B20" s="10" t="n">
        <v>9</v>
      </c>
      <c r="C20" s="10" t="inlineStr">
        <is>
          <t>2. OG</t>
        </is>
      </c>
      <c r="D20" s="11" t="n">
        <v>40</v>
      </c>
      <c r="E20" s="12" t="n">
        <v>620</v>
      </c>
      <c r="F20" s="10" t="inlineStr">
        <is>
          <t>Occupied</t>
        </is>
      </c>
      <c r="G20" s="10" t="inlineStr">
        <is>
          <t>Klein, David</t>
        </is>
      </c>
      <c r="H20" s="13" t="n">
        <v>45748</v>
      </c>
      <c r="I20" s="13" t="n">
        <v>46112</v>
      </c>
      <c r="J20" s="10">
        <f>IF(OR(F20="Vacant",H20=""),"—",DATEDIF(H20,TODAY(),"Y")&amp;"y "&amp;DATEDIF(H20,TODAY(),"YM")&amp;"m "&amp;DATEDIF(H20,TODAY(),"MD")&amp;"d")</f>
        <v/>
      </c>
      <c r="K20" s="14" t="n"/>
    </row>
    <row r="21" ht="22" customHeight="1">
      <c r="B21" s="10" t="n">
        <v>10</v>
      </c>
      <c r="C21" s="10" t="inlineStr">
        <is>
          <t>3. OG</t>
        </is>
      </c>
      <c r="D21" s="11" t="n">
        <v>70</v>
      </c>
      <c r="E21" s="12" t="n">
        <v>1050</v>
      </c>
      <c r="F21" s="10" t="inlineStr">
        <is>
          <t>Occupied</t>
        </is>
      </c>
      <c r="G21" s="10" t="inlineStr">
        <is>
          <t>Richter, Petra</t>
        </is>
      </c>
      <c r="H21" s="13" t="n">
        <v>44058</v>
      </c>
      <c r="I21" s="13" t="n">
        <v>46248</v>
      </c>
      <c r="J21" s="10">
        <f>IF(OR(F21="Vacant",H21=""),"—",DATEDIF(H21,TODAY(),"Y")&amp;"y "&amp;DATEDIF(H21,TODAY(),"YM")&amp;"m "&amp;DATEDIF(H21,TODAY(),"MD")&amp;"d")</f>
        <v/>
      </c>
      <c r="K21" s="14" t="inlineStr">
        <is>
          <t>Attic / loft</t>
        </is>
      </c>
    </row>
    <row r="22" ht="22" customHeight="1">
      <c r="B22" s="10" t="n">
        <v>11</v>
      </c>
      <c r="C22" s="10" t="inlineStr">
        <is>
          <t>3. OG</t>
        </is>
      </c>
      <c r="D22" s="11" t="n">
        <v>44</v>
      </c>
      <c r="E22" s="12" t="n">
        <v>670</v>
      </c>
      <c r="F22" s="10" t="inlineStr">
        <is>
          <t>Vacant</t>
        </is>
      </c>
      <c r="G22" s="10" t="n"/>
      <c r="H22" s="13" t="n"/>
      <c r="I22" s="13" t="n"/>
      <c r="J22" s="10">
        <f>IF(OR(F22="Vacant",H22=""),"—",DATEDIF(H22,TODAY(),"Y")&amp;"y "&amp;DATEDIF(H22,TODAY(),"YM")&amp;"m "&amp;DATEDIF(H22,TODAY(),"MD")&amp;"d")</f>
        <v/>
      </c>
      <c r="K22" s="14" t="n"/>
    </row>
    <row r="23" ht="22" customHeight="1">
      <c r="B23" s="10" t="n">
        <v>12</v>
      </c>
      <c r="C23" s="10" t="inlineStr">
        <is>
          <t>3. OG</t>
        </is>
      </c>
      <c r="D23" s="11" t="n">
        <v>50</v>
      </c>
      <c r="E23" s="12" t="n">
        <v>750</v>
      </c>
      <c r="F23" s="10" t="inlineStr">
        <is>
          <t>Occupied</t>
        </is>
      </c>
      <c r="G23" s="10" t="inlineStr">
        <is>
          <t>Wagner, Nico</t>
        </is>
      </c>
      <c r="H23" s="13" t="n">
        <v>45261</v>
      </c>
      <c r="I23" s="13" t="n">
        <v>45991</v>
      </c>
      <c r="J23" s="10">
        <f>IF(OR(F23="Vacant",H23=""),"—",DATEDIF(H23,TODAY(),"Y")&amp;"y "&amp;DATEDIF(H23,TODAY(),"YM")&amp;"m "&amp;DATEDIF(H23,TODAY(),"MD")&amp;"d")</f>
        <v/>
      </c>
      <c r="K23" s="14" t="inlineStr">
        <is>
          <t>Check renewal</t>
        </is>
      </c>
    </row>
    <row r="24" ht="22" customHeight="1">
      <c r="B24" s="10" t="n">
        <v>13</v>
      </c>
      <c r="C24" s="10" t="inlineStr">
        <is>
          <t>DG</t>
        </is>
      </c>
      <c r="D24" s="11" t="n">
        <v>35</v>
      </c>
      <c r="E24" s="12" t="n">
        <v>540</v>
      </c>
      <c r="F24" s="10" t="inlineStr">
        <is>
          <t>Notice Given</t>
        </is>
      </c>
      <c r="G24" s="10" t="inlineStr">
        <is>
          <t>Schulz, Eva</t>
        </is>
      </c>
      <c r="H24" s="13" t="n">
        <v>45323</v>
      </c>
      <c r="I24" s="13" t="n">
        <v>46234</v>
      </c>
      <c r="J24" s="10">
        <f>IF(OR(F24="Vacant",H24=""),"—",DATEDIF(H24,TODAY(),"Y")&amp;"y "&amp;DATEDIF(H24,TODAY(),"YM")&amp;"m "&amp;DATEDIF(H24,TODAY(),"MD")&amp;"d")</f>
        <v/>
      </c>
      <c r="K24" s="14" t="inlineStr">
        <is>
          <t>Notice received</t>
        </is>
      </c>
    </row>
    <row r="25" ht="22" customHeight="1">
      <c r="B25" s="10" t="n">
        <v>14</v>
      </c>
      <c r="C25" s="10" t="inlineStr">
        <is>
          <t>DG</t>
        </is>
      </c>
      <c r="D25" s="11" t="n">
        <v>32</v>
      </c>
      <c r="E25" s="12" t="n">
        <v>510</v>
      </c>
      <c r="F25" s="10" t="inlineStr">
        <is>
          <t>Occupied</t>
        </is>
      </c>
      <c r="G25" s="10" t="inlineStr">
        <is>
          <t>Braun, Felix</t>
        </is>
      </c>
      <c r="H25" s="13" t="n">
        <v>45839</v>
      </c>
      <c r="I25" s="13" t="n">
        <v>46203</v>
      </c>
      <c r="J25" s="10">
        <f>IF(OR(F25="Vacant",H25=""),"—",DATEDIF(H25,TODAY(),"Y")&amp;"y "&amp;DATEDIF(H25,TODAY(),"YM")&amp;"m "&amp;DATEDIF(H25,TODAY(),"MD")&amp;"d")</f>
        <v/>
      </c>
      <c r="K25" s="14" t="inlineStr">
        <is>
          <t>Student lease</t>
        </is>
      </c>
    </row>
  </sheetData>
  <mergeCells count="13">
    <mergeCell ref="D6:E6"/>
    <mergeCell ref="B6:C6"/>
    <mergeCell ref="H6:I6"/>
    <mergeCell ref="J5:K5"/>
    <mergeCell ref="J6:K6"/>
    <mergeCell ref="B5:C5"/>
    <mergeCell ref="B9:K9"/>
    <mergeCell ref="F5:G5"/>
    <mergeCell ref="D5:E5"/>
    <mergeCell ref="F6:G6"/>
    <mergeCell ref="H5:I5"/>
    <mergeCell ref="B2:K2"/>
    <mergeCell ref="B3:K3"/>
  </mergeCells>
  <conditionalFormatting sqref="F12:F25">
    <cfRule type="cellIs" priority="1" operator="equal" dxfId="0">
      <formula>"Occupied"</formula>
    </cfRule>
    <cfRule type="cellIs" priority="2" operator="equal" dxfId="1">
      <formula>"Vacant"</formula>
    </cfRule>
    <cfRule type="cellIs" priority="3" operator="equal" dxfId="2">
      <formula>"Notice Given"</formula>
    </cfRule>
  </conditionalFormatting>
  <dataValidations count="1">
    <dataValidation sqref="F12:F25" showDropDown="0" showInputMessage="0" showErrorMessage="0" allowBlank="1" errorTitle="Invalid Status" error="Please select Occupied, Vacant, or Notice Given" promptTitle="Status" prompt="Select occupancy status" type="list">
      <formula1>"Occupied,Vacant,Notice Given"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1" customWidth="1" min="4" max="4"/>
    <col width="10" customWidth="1" min="5" max="5"/>
    <col width="16" customWidth="1" min="6" max="6"/>
    <col width="12" customWidth="1" min="7" max="7"/>
    <col width="20" customWidth="1" min="8" max="8"/>
    <col width="22" customWidth="1" min="9" max="9"/>
  </cols>
  <sheetData>
    <row r="2">
      <c r="B2" s="15" t="inlineStr">
        <is>
          <t>Apartment Master Data</t>
        </is>
      </c>
    </row>
    <row r="3">
      <c r="B3" s="2" t="inlineStr">
        <is>
          <t>Fixed details per unit. Update these when rent or size changes. Overview can be kept in sync manually or copy values from here.</t>
        </is>
      </c>
    </row>
    <row r="5">
      <c r="B5" s="9" t="inlineStr">
        <is>
          <t>Apt #</t>
        </is>
      </c>
      <c r="C5" s="9" t="inlineStr">
        <is>
          <t>Floor</t>
        </is>
      </c>
      <c r="D5" s="9" t="inlineStr">
        <is>
          <t>Size (m²)</t>
        </is>
      </c>
      <c r="E5" s="9" t="inlineStr">
        <is>
          <t>Rooms</t>
        </is>
      </c>
      <c r="F5" s="9" t="inlineStr">
        <is>
          <t>Monthly Rent (€)</t>
        </is>
      </c>
      <c r="G5" s="9" t="inlineStr">
        <is>
          <t>Deposit (€)</t>
        </is>
      </c>
      <c r="H5" s="9" t="inlineStr">
        <is>
          <t>Features</t>
        </is>
      </c>
      <c r="I5" s="9" t="inlineStr">
        <is>
          <t>Remarks</t>
        </is>
      </c>
    </row>
    <row r="6">
      <c r="B6" s="10" t="n">
        <v>1</v>
      </c>
      <c r="C6" s="10" t="inlineStr">
        <is>
          <t>EG</t>
        </is>
      </c>
      <c r="D6" s="11" t="n">
        <v>42</v>
      </c>
      <c r="E6" s="16" t="n">
        <v>1.5</v>
      </c>
      <c r="F6" s="12" t="n">
        <v>650</v>
      </c>
      <c r="G6" s="12" t="n">
        <v>1300</v>
      </c>
      <c r="H6" s="10" t="inlineStr">
        <is>
          <t>Balcony</t>
        </is>
      </c>
      <c r="I6" s="10" t="n"/>
    </row>
    <row r="7">
      <c r="B7" s="10" t="n">
        <v>2</v>
      </c>
      <c r="C7" s="10" t="inlineStr">
        <is>
          <t>EG</t>
        </is>
      </c>
      <c r="D7" s="11" t="n">
        <v>38</v>
      </c>
      <c r="E7" s="16" t="n">
        <v>1</v>
      </c>
      <c r="F7" s="12" t="n">
        <v>590</v>
      </c>
      <c r="G7" s="12" t="n">
        <v>1180</v>
      </c>
      <c r="H7" s="10" t="inlineStr">
        <is>
          <t>Garden access</t>
        </is>
      </c>
      <c r="I7" s="10" t="n"/>
    </row>
    <row r="8">
      <c r="B8" s="10" t="n">
        <v>3</v>
      </c>
      <c r="C8" s="10" t="inlineStr">
        <is>
          <t>EG</t>
        </is>
      </c>
      <c r="D8" s="11" t="n">
        <v>55</v>
      </c>
      <c r="E8" s="16" t="n">
        <v>2</v>
      </c>
      <c r="F8" s="12" t="n">
        <v>820</v>
      </c>
      <c r="G8" s="12" t="n">
        <v>1640</v>
      </c>
      <c r="H8" s="10" t="inlineStr">
        <is>
          <t>Balcony</t>
        </is>
      </c>
      <c r="I8" s="10" t="n"/>
    </row>
    <row r="9">
      <c r="B9" s="10" t="n">
        <v>4</v>
      </c>
      <c r="C9" s="10" t="inlineStr">
        <is>
          <t>1. OG</t>
        </is>
      </c>
      <c r="D9" s="11" t="n">
        <v>48</v>
      </c>
      <c r="E9" s="16" t="n">
        <v>2</v>
      </c>
      <c r="F9" s="12" t="n">
        <v>720</v>
      </c>
      <c r="G9" s="12" t="n">
        <v>1440</v>
      </c>
      <c r="H9" s="10" t="inlineStr">
        <is>
          <t>Balcony</t>
        </is>
      </c>
      <c r="I9" s="10" t="n"/>
    </row>
    <row r="10">
      <c r="B10" s="10" t="n">
        <v>5</v>
      </c>
      <c r="C10" s="10" t="inlineStr">
        <is>
          <t>1. OG</t>
        </is>
      </c>
      <c r="D10" s="11" t="n">
        <v>52</v>
      </c>
      <c r="E10" s="16" t="n">
        <v>2</v>
      </c>
      <c r="F10" s="12" t="n">
        <v>780</v>
      </c>
      <c r="G10" s="12" t="n">
        <v>1560</v>
      </c>
      <c r="H10" s="10" t="inlineStr">
        <is>
          <t>Balcony</t>
        </is>
      </c>
      <c r="I10" s="10" t="n"/>
    </row>
    <row r="11">
      <c r="B11" s="10" t="n">
        <v>6</v>
      </c>
      <c r="C11" s="10" t="inlineStr">
        <is>
          <t>1. OG</t>
        </is>
      </c>
      <c r="D11" s="11" t="n">
        <v>36</v>
      </c>
      <c r="E11" s="16" t="n">
        <v>1</v>
      </c>
      <c r="F11" s="12" t="n">
        <v>560</v>
      </c>
      <c r="G11" s="12" t="n">
        <v>1120</v>
      </c>
      <c r="H11" s="10" t="n"/>
      <c r="I11" s="10" t="n"/>
    </row>
    <row r="12">
      <c r="B12" s="10" t="n">
        <v>7</v>
      </c>
      <c r="C12" s="10" t="inlineStr">
        <is>
          <t>2. OG</t>
        </is>
      </c>
      <c r="D12" s="11" t="n">
        <v>60</v>
      </c>
      <c r="E12" s="16" t="n">
        <v>2.5</v>
      </c>
      <c r="F12" s="12" t="n">
        <v>890</v>
      </c>
      <c r="G12" s="12" t="n">
        <v>1780</v>
      </c>
      <c r="H12" s="10" t="inlineStr">
        <is>
          <t>Balcony + storage</t>
        </is>
      </c>
      <c r="I12" s="10" t="n"/>
    </row>
    <row r="13">
      <c r="B13" s="10" t="n">
        <v>8</v>
      </c>
      <c r="C13" s="10" t="inlineStr">
        <is>
          <t>2. OG</t>
        </is>
      </c>
      <c r="D13" s="11" t="n">
        <v>45</v>
      </c>
      <c r="E13" s="16" t="n">
        <v>1.5</v>
      </c>
      <c r="F13" s="12" t="n">
        <v>680</v>
      </c>
      <c r="G13" s="12" t="n">
        <v>1360</v>
      </c>
      <c r="H13" s="10" t="inlineStr">
        <is>
          <t>Balcony</t>
        </is>
      </c>
      <c r="I13" s="10" t="n"/>
    </row>
    <row r="14">
      <c r="B14" s="10" t="n">
        <v>9</v>
      </c>
      <c r="C14" s="10" t="inlineStr">
        <is>
          <t>2. OG</t>
        </is>
      </c>
      <c r="D14" s="11" t="n">
        <v>40</v>
      </c>
      <c r="E14" s="16" t="n">
        <v>1.5</v>
      </c>
      <c r="F14" s="12" t="n">
        <v>620</v>
      </c>
      <c r="G14" s="12" t="n">
        <v>1240</v>
      </c>
      <c r="H14" s="10" t="n"/>
      <c r="I14" s="10" t="n"/>
    </row>
    <row r="15">
      <c r="B15" s="10" t="n">
        <v>10</v>
      </c>
      <c r="C15" s="10" t="inlineStr">
        <is>
          <t>3. OG</t>
        </is>
      </c>
      <c r="D15" s="11" t="n">
        <v>70</v>
      </c>
      <c r="E15" s="16" t="n">
        <v>3</v>
      </c>
      <c r="F15" s="12" t="n">
        <v>1050</v>
      </c>
      <c r="G15" s="12" t="n">
        <v>2100</v>
      </c>
      <c r="H15" s="10" t="inlineStr">
        <is>
          <t>Loft / terrace</t>
        </is>
      </c>
      <c r="I15" s="10" t="n"/>
    </row>
    <row r="16">
      <c r="B16" s="10" t="n">
        <v>11</v>
      </c>
      <c r="C16" s="10" t="inlineStr">
        <is>
          <t>3. OG</t>
        </is>
      </c>
      <c r="D16" s="11" t="n">
        <v>44</v>
      </c>
      <c r="E16" s="16" t="n">
        <v>1.5</v>
      </c>
      <c r="F16" s="12" t="n">
        <v>670</v>
      </c>
      <c r="G16" s="12" t="n">
        <v>1340</v>
      </c>
      <c r="H16" s="10" t="inlineStr">
        <is>
          <t>Balcony</t>
        </is>
      </c>
      <c r="I16" s="10" t="n"/>
    </row>
    <row r="17">
      <c r="B17" s="10" t="n">
        <v>12</v>
      </c>
      <c r="C17" s="10" t="inlineStr">
        <is>
          <t>3. OG</t>
        </is>
      </c>
      <c r="D17" s="11" t="n">
        <v>50</v>
      </c>
      <c r="E17" s="16" t="n">
        <v>2</v>
      </c>
      <c r="F17" s="12" t="n">
        <v>750</v>
      </c>
      <c r="G17" s="12" t="n">
        <v>1500</v>
      </c>
      <c r="H17" s="10" t="inlineStr">
        <is>
          <t>Balcony</t>
        </is>
      </c>
      <c r="I17" s="10" t="n"/>
    </row>
    <row r="18">
      <c r="B18" s="10" t="n">
        <v>13</v>
      </c>
      <c r="C18" s="10" t="inlineStr">
        <is>
          <t>DG</t>
        </is>
      </c>
      <c r="D18" s="11" t="n">
        <v>35</v>
      </c>
      <c r="E18" s="16" t="n">
        <v>1</v>
      </c>
      <c r="F18" s="12" t="n">
        <v>540</v>
      </c>
      <c r="G18" s="12" t="n">
        <v>1080</v>
      </c>
      <c r="H18" s="10" t="inlineStr">
        <is>
          <t>Roof windows</t>
        </is>
      </c>
      <c r="I18" s="10" t="n"/>
    </row>
    <row r="19">
      <c r="B19" s="10" t="n">
        <v>14</v>
      </c>
      <c r="C19" s="10" t="inlineStr">
        <is>
          <t>DG</t>
        </is>
      </c>
      <c r="D19" s="11" t="n">
        <v>32</v>
      </c>
      <c r="E19" s="16" t="n">
        <v>1</v>
      </c>
      <c r="F19" s="12" t="n">
        <v>510</v>
      </c>
      <c r="G19" s="12" t="n">
        <v>1020</v>
      </c>
      <c r="H19" s="10" t="inlineStr">
        <is>
          <t>Roof windows</t>
        </is>
      </c>
      <c r="I19" s="10" t="inlineStr">
        <is>
          <t>Furnished option</t>
        </is>
      </c>
    </row>
    <row r="21">
      <c r="B21" s="17" t="inlineStr">
        <is>
          <t>Totals</t>
        </is>
      </c>
      <c r="C21" s="17" t="n"/>
      <c r="D21" s="18">
        <f>SUM(D6:D19)</f>
        <v/>
      </c>
      <c r="E21" s="17" t="n"/>
      <c r="F21" s="19">
        <f>SUM(F6:F19)</f>
        <v/>
      </c>
      <c r="G21" s="19">
        <f>SUM(G6:G19)</f>
        <v/>
      </c>
      <c r="H21" s="17" t="n"/>
      <c r="I21" s="17" t="n"/>
    </row>
    <row r="23">
      <c r="B23" s="20" t="inlineStr">
        <is>
          <t>Potential monthly income (all rented)</t>
        </is>
      </c>
      <c r="E23" s="21">
        <f>F21</f>
        <v/>
      </c>
    </row>
    <row r="24">
      <c r="B24" s="20" t="inlineStr">
        <is>
          <t>Current monthly income (occupied + notice)</t>
        </is>
      </c>
      <c r="E24" s="21">
        <f>SUMIF(Overview!F12:F25,"Occupied",Overview!E12:E25)+SUMIF(Overview!F12:F25,"Notice Given",Overview!E12:E25)</f>
        <v/>
      </c>
    </row>
    <row r="25">
      <c r="B25" s="20" t="inlineStr">
        <is>
          <t>Lost rent (vacant units)</t>
        </is>
      </c>
      <c r="E25" s="22">
        <f>SUMIF(Overview!F12:F25,"Vacant",Overview!E12:E25)</f>
        <v/>
      </c>
    </row>
  </sheetData>
  <mergeCells count="5">
    <mergeCell ref="B23:D23"/>
    <mergeCell ref="B2:H2"/>
    <mergeCell ref="B3:H3"/>
    <mergeCell ref="B25:D25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6" customWidth="1" min="4" max="4"/>
    <col width="14" customWidth="1" min="5" max="5"/>
    <col width="16" customWidth="1" min="6" max="6"/>
    <col width="13" customWidth="1" min="7" max="7"/>
    <col width="18" customWidth="1" min="8" max="8"/>
    <col width="40" customWidth="1" min="9" max="9"/>
  </cols>
  <sheetData>
    <row r="2">
      <c r="B2" s="15" t="inlineStr">
        <is>
          <t>Upcoming Move-outs &amp; Re-letting Plan</t>
        </is>
      </c>
    </row>
    <row r="3">
      <c r="B3" s="2" t="inlineStr">
        <is>
          <t>Track apartments that will free up soon so you can advertise early and minimize vacancy.</t>
        </is>
      </c>
    </row>
    <row r="5">
      <c r="B5" s="9" t="inlineStr">
        <is>
          <t>Apt #</t>
        </is>
      </c>
      <c r="C5" s="9" t="inlineStr">
        <is>
          <t>Current Tenant</t>
        </is>
      </c>
      <c r="D5" s="9" t="inlineStr">
        <is>
          <t>Expected Move-out</t>
        </is>
      </c>
      <c r="E5" s="9" t="inlineStr">
        <is>
          <t>Days Until Free</t>
        </is>
      </c>
      <c r="F5" s="9" t="inlineStr">
        <is>
          <t>Listing Status</t>
        </is>
      </c>
      <c r="G5" s="9" t="inlineStr">
        <is>
          <t>Viewings Done</t>
        </is>
      </c>
      <c r="H5" s="9" t="inlineStr">
        <is>
          <t>New Tenant Confirmed?</t>
        </is>
      </c>
      <c r="I5" s="9" t="inlineStr">
        <is>
          <t>Action / Notes</t>
        </is>
      </c>
    </row>
    <row r="6">
      <c r="B6" s="10" t="n">
        <v>4</v>
      </c>
      <c r="C6" s="10" t="inlineStr">
        <is>
          <t>Weber, Lisa</t>
        </is>
      </c>
      <c r="D6" s="13" t="n">
        <v>46265</v>
      </c>
      <c r="E6" s="10">
        <f>IF(D6="","",D6-TODAY())</f>
        <v/>
      </c>
      <c r="F6" s="10" t="inlineStr">
        <is>
          <t>Not listed yet</t>
        </is>
      </c>
      <c r="G6" s="10" t="n">
        <v>0</v>
      </c>
      <c r="H6" s="10" t="inlineStr">
        <is>
          <t>No</t>
        </is>
      </c>
      <c r="I6" s="14" t="inlineStr">
        <is>
          <t>Prepare listing photos; clean after handover</t>
        </is>
      </c>
    </row>
    <row r="7">
      <c r="B7" s="10" t="n">
        <v>13</v>
      </c>
      <c r="C7" s="10" t="inlineStr">
        <is>
          <t>Schulz, Eva</t>
        </is>
      </c>
      <c r="D7" s="13" t="n">
        <v>46234</v>
      </c>
      <c r="E7" s="10">
        <f>IF(D7="","",D7-TODAY())</f>
        <v/>
      </c>
      <c r="F7" s="10" t="inlineStr">
        <is>
          <t>Online</t>
        </is>
      </c>
      <c r="G7" s="10" t="n">
        <v>2</v>
      </c>
      <c r="H7" s="10" t="inlineStr">
        <is>
          <t>No</t>
        </is>
      </c>
      <c r="I7" s="14" t="inlineStr">
        <is>
          <t>2 viewings scheduled next week</t>
        </is>
      </c>
    </row>
    <row r="8">
      <c r="B8" s="10" t="n">
        <v>2</v>
      </c>
      <c r="C8" s="10" t="inlineStr">
        <is>
          <t>— vacant —</t>
        </is>
      </c>
      <c r="D8" s="13" t="n">
        <v>46237</v>
      </c>
      <c r="E8" s="10">
        <f>IF(D8="","",D8-TODAY())</f>
        <v/>
      </c>
      <c r="F8" s="10" t="inlineStr">
        <is>
          <t>Online</t>
        </is>
      </c>
      <c r="G8" s="10" t="n">
        <v>3</v>
      </c>
      <c r="H8" s="10" t="inlineStr">
        <is>
          <t>No</t>
        </is>
      </c>
      <c r="I8" s="14" t="inlineStr">
        <is>
          <t>Available now — prioritize</t>
        </is>
      </c>
    </row>
    <row r="9">
      <c r="B9" s="10" t="n">
        <v>6</v>
      </c>
      <c r="C9" s="10" t="inlineStr">
        <is>
          <t>— vacant —</t>
        </is>
      </c>
      <c r="D9" s="13" t="n">
        <v>46249</v>
      </c>
      <c r="E9" s="10">
        <f>IF(D9="","",D9-TODAY())</f>
        <v/>
      </c>
      <c r="F9" s="10" t="inlineStr">
        <is>
          <t>Ready after paint</t>
        </is>
      </c>
      <c r="G9" s="10" t="n">
        <v>0</v>
      </c>
      <c r="H9" s="10" t="inlineStr">
        <is>
          <t>No</t>
        </is>
      </c>
      <c r="I9" s="14" t="inlineStr">
        <is>
          <t>Painter booked 10–14 Aug</t>
        </is>
      </c>
    </row>
    <row r="10">
      <c r="B10" s="10" t="n">
        <v>11</v>
      </c>
      <c r="C10" s="10" t="inlineStr">
        <is>
          <t>— vacant —</t>
        </is>
      </c>
      <c r="D10" s="13" t="n">
        <v>46237</v>
      </c>
      <c r="E10" s="10">
        <f>IF(D10="","",D10-TODAY())</f>
        <v/>
      </c>
      <c r="F10" s="10" t="inlineStr">
        <is>
          <t>Not listed yet</t>
        </is>
      </c>
      <c r="G10" s="10" t="n">
        <v>0</v>
      </c>
      <c r="H10" s="10" t="inlineStr">
        <is>
          <t>No</t>
        </is>
      </c>
      <c r="I10" s="14" t="inlineStr">
        <is>
          <t>Deep clean needed</t>
        </is>
      </c>
    </row>
    <row r="11">
      <c r="B11" s="23" t="n"/>
      <c r="C11" s="23" t="n"/>
      <c r="D11" s="24" t="n"/>
      <c r="E11" s="25">
        <f>IF(D11="","",D11-TODAY())</f>
        <v/>
      </c>
      <c r="F11" s="23" t="n"/>
      <c r="G11" s="23" t="n"/>
      <c r="H11" s="23" t="n"/>
      <c r="I11" s="23" t="n"/>
    </row>
    <row r="12">
      <c r="B12" s="23" t="n"/>
      <c r="C12" s="23" t="n"/>
      <c r="D12" s="24" t="n"/>
      <c r="E12" s="25">
        <f>IF(D12="","",D12-TODAY())</f>
        <v/>
      </c>
      <c r="F12" s="23" t="n"/>
      <c r="G12" s="23" t="n"/>
      <c r="H12" s="23" t="n"/>
      <c r="I12" s="23" t="n"/>
    </row>
    <row r="13">
      <c r="B13" s="23" t="n"/>
      <c r="C13" s="23" t="n"/>
      <c r="D13" s="24" t="n"/>
      <c r="E13" s="25">
        <f>IF(D13="","",D13-TODAY())</f>
        <v/>
      </c>
      <c r="F13" s="23" t="n"/>
      <c r="G13" s="23" t="n"/>
      <c r="H13" s="23" t="n"/>
      <c r="I13" s="23" t="n"/>
    </row>
    <row r="14">
      <c r="B14" s="23" t="n"/>
      <c r="C14" s="23" t="n"/>
      <c r="D14" s="24" t="n"/>
      <c r="E14" s="25">
        <f>IF(D14="","",D14-TODAY())</f>
        <v/>
      </c>
      <c r="F14" s="23" t="n"/>
      <c r="G14" s="23" t="n"/>
      <c r="H14" s="23" t="n"/>
      <c r="I14" s="23" t="n"/>
    </row>
    <row r="15">
      <c r="B15" s="23" t="n"/>
      <c r="C15" s="23" t="n"/>
      <c r="D15" s="24" t="n"/>
      <c r="E15" s="25">
        <f>IF(D15="","",D15-TODAY())</f>
        <v/>
      </c>
      <c r="F15" s="23" t="n"/>
      <c r="G15" s="23" t="n"/>
      <c r="H15" s="23" t="n"/>
      <c r="I15" s="23" t="n"/>
    </row>
    <row r="16">
      <c r="B16" s="23" t="n"/>
      <c r="C16" s="23" t="n"/>
      <c r="D16" s="24" t="n"/>
      <c r="E16" s="25">
        <f>IF(D16="","",D16-TODAY())</f>
        <v/>
      </c>
      <c r="F16" s="23" t="n"/>
      <c r="G16" s="23" t="n"/>
      <c r="H16" s="23" t="n"/>
      <c r="I16" s="23" t="n"/>
    </row>
    <row r="17">
      <c r="B17" s="23" t="n"/>
      <c r="C17" s="23" t="n"/>
      <c r="D17" s="24" t="n"/>
      <c r="E17" s="25">
        <f>IF(D17="","",D17-TODAY())</f>
        <v/>
      </c>
      <c r="F17" s="23" t="n"/>
      <c r="G17" s="23" t="n"/>
      <c r="H17" s="23" t="n"/>
      <c r="I17" s="23" t="n"/>
    </row>
    <row r="18">
      <c r="B18" s="23" t="n"/>
      <c r="C18" s="23" t="n"/>
      <c r="D18" s="24" t="n"/>
      <c r="E18" s="25">
        <f>IF(D18="","",D18-TODAY())</f>
        <v/>
      </c>
      <c r="F18" s="23" t="n"/>
      <c r="G18" s="23" t="n"/>
      <c r="H18" s="23" t="n"/>
      <c r="I18" s="23" t="n"/>
    </row>
    <row r="19">
      <c r="B19" s="23" t="n"/>
      <c r="C19" s="23" t="n"/>
      <c r="D19" s="24" t="n"/>
      <c r="E19" s="25">
        <f>IF(D19="","",D19-TODAY())</f>
        <v/>
      </c>
      <c r="F19" s="23" t="n"/>
      <c r="G19" s="23" t="n"/>
      <c r="H19" s="23" t="n"/>
      <c r="I19" s="23" t="n"/>
    </row>
    <row r="20">
      <c r="B20" s="23" t="n"/>
      <c r="C20" s="23" t="n"/>
      <c r="D20" s="24" t="n"/>
      <c r="E20" s="25">
        <f>IF(D20="","",D20-TODAY())</f>
        <v/>
      </c>
      <c r="F20" s="23" t="n"/>
      <c r="G20" s="23" t="n"/>
      <c r="H20" s="23" t="n"/>
      <c r="I20" s="23" t="n"/>
    </row>
    <row r="21">
      <c r="B21" s="23" t="n"/>
      <c r="C21" s="23" t="n"/>
      <c r="D21" s="24" t="n"/>
      <c r="E21" s="25">
        <f>IF(D21="","",D21-TODAY())</f>
        <v/>
      </c>
      <c r="F21" s="23" t="n"/>
      <c r="G21" s="23" t="n"/>
      <c r="H21" s="23" t="n"/>
      <c r="I21" s="23" t="n"/>
    </row>
    <row r="22">
      <c r="B22" s="23" t="n"/>
      <c r="C22" s="23" t="n"/>
      <c r="D22" s="24" t="n"/>
      <c r="E22" s="25">
        <f>IF(D22="","",D22-TODAY())</f>
        <v/>
      </c>
      <c r="F22" s="23" t="n"/>
      <c r="G22" s="23" t="n"/>
      <c r="H22" s="23" t="n"/>
      <c r="I22" s="23" t="n"/>
    </row>
    <row r="23">
      <c r="B23" s="23" t="n"/>
      <c r="C23" s="23" t="n"/>
      <c r="D23" s="24" t="n"/>
      <c r="E23" s="25">
        <f>IF(D23="","",D23-TODAY())</f>
        <v/>
      </c>
      <c r="F23" s="23" t="n"/>
      <c r="G23" s="23" t="n"/>
      <c r="H23" s="23" t="n"/>
      <c r="I23" s="23" t="n"/>
    </row>
    <row r="24">
      <c r="B24" s="23" t="n"/>
      <c r="C24" s="23" t="n"/>
      <c r="D24" s="24" t="n"/>
      <c r="E24" s="25">
        <f>IF(D24="","",D24-TODAY())</f>
        <v/>
      </c>
      <c r="F24" s="23" t="n"/>
      <c r="G24" s="23" t="n"/>
      <c r="H24" s="23" t="n"/>
      <c r="I24" s="23" t="n"/>
    </row>
    <row r="25">
      <c r="B25" s="23" t="n"/>
      <c r="C25" s="23" t="n"/>
      <c r="D25" s="24" t="n"/>
      <c r="E25" s="25">
        <f>IF(D25="","",D25-TODAY())</f>
        <v/>
      </c>
      <c r="F25" s="23" t="n"/>
      <c r="G25" s="23" t="n"/>
      <c r="H25" s="23" t="n"/>
      <c r="I25" s="23" t="n"/>
    </row>
  </sheetData>
  <mergeCells count="2">
    <mergeCell ref="B3:H3"/>
    <mergeCell ref="B2:H2"/>
  </mergeCells>
  <dataValidations count="2">
    <dataValidation sqref="F6:F25" showDropDown="0" showInputMessage="0" showErrorMessage="0" allowBlank="1" type="list">
      <formula1>"Not listed yet,Ready after paint,Online,Offer pending,Re-let"</formula1>
    </dataValidation>
    <dataValidation sqref="H6:H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3" customWidth="1" min="4" max="4"/>
    <col width="14" customWidth="1" min="5" max="5"/>
    <col width="14" customWidth="1" min="6" max="6"/>
    <col width="15" customWidth="1" min="7" max="7"/>
    <col width="18" customWidth="1" min="8" max="8"/>
    <col width="16" customWidth="1" min="9" max="9"/>
    <col width="26" customWidth="1" min="10" max="10"/>
    <col width="28" customWidth="1" min="11" max="11"/>
  </cols>
  <sheetData>
    <row r="2">
      <c r="B2" s="15" t="inlineStr">
        <is>
          <t>Tenant Move-out History</t>
        </is>
      </c>
    </row>
    <row r="3">
      <c r="B3" s="2" t="inlineStr">
        <is>
          <t>Archive past tenancies here. Copy a row from Overview when a tenant leaves, then fill Move-out Date and Occupancy Length.</t>
        </is>
      </c>
    </row>
    <row r="5">
      <c r="B5" s="9" t="inlineStr">
        <is>
          <t>Apt #</t>
        </is>
      </c>
      <c r="C5" s="9" t="inlineStr">
        <is>
          <t>Tenant Name</t>
        </is>
      </c>
      <c r="D5" s="9" t="inlineStr">
        <is>
          <t>Move-in Date</t>
        </is>
      </c>
      <c r="E5" s="9" t="inlineStr">
        <is>
          <t>Move-out Date</t>
        </is>
      </c>
      <c r="F5" s="9" t="inlineStr">
        <is>
          <t>Months Occupied</t>
        </is>
      </c>
      <c r="G5" s="9" t="inlineStr">
        <is>
          <t>Monthly Rent (€)</t>
        </is>
      </c>
      <c r="H5" s="9" t="inlineStr">
        <is>
          <t>Reason for Leaving</t>
        </is>
      </c>
      <c r="I5" s="9" t="inlineStr">
        <is>
          <t>Deposit Returned?</t>
        </is>
      </c>
      <c r="J5" s="9" t="inlineStr">
        <is>
          <t>Forwarding Address / Contact</t>
        </is>
      </c>
      <c r="K5" s="9" t="inlineStr">
        <is>
          <t>Notes</t>
        </is>
      </c>
    </row>
    <row r="6">
      <c r="B6" s="10" t="n">
        <v>2</v>
      </c>
      <c r="C6" s="10" t="inlineStr">
        <is>
          <t>Neumann, Sara</t>
        </is>
      </c>
      <c r="D6" s="13" t="n">
        <v>44927</v>
      </c>
      <c r="E6" s="13" t="n">
        <v>46022</v>
      </c>
      <c r="F6" s="10">
        <f>IF(OR(D6="",E6=""),"",DATEDIF(D6,E6,"M"))</f>
        <v/>
      </c>
      <c r="G6" s="12" t="n">
        <v>850</v>
      </c>
      <c r="H6" s="10" t="inlineStr">
        <is>
          <t>Job relocation</t>
        </is>
      </c>
      <c r="I6" s="14" t="inlineStr">
        <is>
          <t>Yes</t>
        </is>
      </c>
      <c r="J6" s="14" t="n"/>
      <c r="K6" s="14" t="inlineStr">
        <is>
          <t>Good tenant</t>
        </is>
      </c>
    </row>
    <row r="7">
      <c r="B7" s="10" t="n">
        <v>6</v>
      </c>
      <c r="C7" s="10" t="inlineStr">
        <is>
          <t>Koch, Andreas</t>
        </is>
      </c>
      <c r="D7" s="13" t="n">
        <v>44652</v>
      </c>
      <c r="E7" s="13" t="n">
        <v>45991</v>
      </c>
      <c r="F7" s="10">
        <f>IF(OR(D7="",E7=""),"",DATEDIF(D7,E7,"M"))</f>
        <v/>
      </c>
      <c r="G7" s="12" t="n">
        <v>820</v>
      </c>
      <c r="H7" s="10" t="inlineStr">
        <is>
          <t>Bought house</t>
        </is>
      </c>
      <c r="I7" s="14" t="inlineStr">
        <is>
          <t>Yes</t>
        </is>
      </c>
      <c r="J7" s="14" t="n"/>
      <c r="K7" s="14" t="n"/>
    </row>
    <row r="8">
      <c r="B8" s="10" t="n">
        <v>11</v>
      </c>
      <c r="C8" s="10" t="inlineStr">
        <is>
          <t>Lang, Maria</t>
        </is>
      </c>
      <c r="D8" s="13" t="n">
        <v>45352</v>
      </c>
      <c r="E8" s="13" t="n">
        <v>46037</v>
      </c>
      <c r="F8" s="10">
        <f>IF(OR(D8="",E8=""),"",DATEDIF(D8,E8,"M"))</f>
        <v/>
      </c>
      <c r="G8" s="12" t="n">
        <v>900</v>
      </c>
      <c r="H8" s="10" t="inlineStr">
        <is>
          <t>End of studies</t>
        </is>
      </c>
      <c r="I8" s="14" t="inlineStr">
        <is>
          <t>Yes</t>
        </is>
      </c>
      <c r="J8" s="14" t="inlineStr">
        <is>
          <t>maria.lang@email.com</t>
        </is>
      </c>
      <c r="K8" s="14" t="n"/>
    </row>
    <row r="9">
      <c r="B9" s="10" t="n">
        <v>4</v>
      </c>
      <c r="C9" s="10" t="inlineStr">
        <is>
          <t>Meier, Paul</t>
        </is>
      </c>
      <c r="D9" s="13" t="n">
        <v>43983</v>
      </c>
      <c r="E9" s="13" t="n">
        <v>44804</v>
      </c>
      <c r="F9" s="10">
        <f>IF(OR(D9="",E9=""),"",DATEDIF(D9,E9,"M"))</f>
        <v/>
      </c>
      <c r="G9" s="12" t="n">
        <v>680</v>
      </c>
      <c r="H9" s="10" t="inlineStr">
        <is>
          <t>Moved abroad</t>
        </is>
      </c>
      <c r="I9" s="14" t="inlineStr">
        <is>
          <t>Yes</t>
        </is>
      </c>
      <c r="J9" s="14" t="n"/>
      <c r="K9" s="14" t="inlineStr">
        <is>
          <t>Previous tenant before Weber</t>
        </is>
      </c>
    </row>
    <row r="10">
      <c r="B10" s="10" t="n">
        <v>9</v>
      </c>
      <c r="C10" s="10" t="inlineStr">
        <is>
          <t>Wolf, Tina</t>
        </is>
      </c>
      <c r="D10" s="13" t="n">
        <v>44835</v>
      </c>
      <c r="E10" s="13" t="n">
        <v>45747</v>
      </c>
      <c r="F10" s="10">
        <f>IF(OR(D10="",E10=""),"",DATEDIF(D10,E10,"M"))</f>
        <v/>
      </c>
      <c r="G10" s="12" t="n">
        <v>600</v>
      </c>
      <c r="H10" s="10" t="inlineStr">
        <is>
          <t>Personal reasons</t>
        </is>
      </c>
      <c r="I10" s="14" t="inlineStr">
        <is>
          <t>Partial</t>
        </is>
      </c>
      <c r="J10" s="14" t="n"/>
      <c r="K10" s="14" t="inlineStr">
        <is>
          <t>Small wall damage — deducted €150</t>
        </is>
      </c>
    </row>
    <row r="11">
      <c r="B11" s="23" t="n"/>
      <c r="C11" s="23" t="n"/>
      <c r="D11" s="24" t="n"/>
      <c r="E11" s="24" t="n"/>
      <c r="F11" s="25">
        <f>IF(OR(D11="",E11=""),"",DATEDIF(D11,E11,"M"))</f>
        <v/>
      </c>
      <c r="G11" s="26" t="n"/>
      <c r="H11" s="23" t="n"/>
      <c r="I11" s="23" t="n"/>
      <c r="J11" s="23" t="n"/>
      <c r="K11" s="23" t="n"/>
    </row>
    <row r="12">
      <c r="B12" s="23" t="n"/>
      <c r="C12" s="23" t="n"/>
      <c r="D12" s="24" t="n"/>
      <c r="E12" s="24" t="n"/>
      <c r="F12" s="25">
        <f>IF(OR(D12="",E12=""),"",DATEDIF(D12,E12,"M"))</f>
        <v/>
      </c>
      <c r="G12" s="26" t="n"/>
      <c r="H12" s="23" t="n"/>
      <c r="I12" s="23" t="n"/>
      <c r="J12" s="23" t="n"/>
      <c r="K12" s="23" t="n"/>
    </row>
    <row r="13">
      <c r="B13" s="23" t="n"/>
      <c r="C13" s="23" t="n"/>
      <c r="D13" s="24" t="n"/>
      <c r="E13" s="24" t="n"/>
      <c r="F13" s="25">
        <f>IF(OR(D13="",E13=""),"",DATEDIF(D13,E13,"M"))</f>
        <v/>
      </c>
      <c r="G13" s="26" t="n"/>
      <c r="H13" s="23" t="n"/>
      <c r="I13" s="23" t="n"/>
      <c r="J13" s="23" t="n"/>
      <c r="K13" s="23" t="n"/>
    </row>
    <row r="14">
      <c r="B14" s="23" t="n"/>
      <c r="C14" s="23" t="n"/>
      <c r="D14" s="24" t="n"/>
      <c r="E14" s="24" t="n"/>
      <c r="F14" s="25">
        <f>IF(OR(D14="",E14=""),"",DATEDIF(D14,E14,"M"))</f>
        <v/>
      </c>
      <c r="G14" s="26" t="n"/>
      <c r="H14" s="23" t="n"/>
      <c r="I14" s="23" t="n"/>
      <c r="J14" s="23" t="n"/>
      <c r="K14" s="23" t="n"/>
    </row>
    <row r="15">
      <c r="B15" s="23" t="n"/>
      <c r="C15" s="23" t="n"/>
      <c r="D15" s="24" t="n"/>
      <c r="E15" s="24" t="n"/>
      <c r="F15" s="25">
        <f>IF(OR(D15="",E15=""),"",DATEDIF(D15,E15,"M"))</f>
        <v/>
      </c>
      <c r="G15" s="26" t="n"/>
      <c r="H15" s="23" t="n"/>
      <c r="I15" s="23" t="n"/>
      <c r="J15" s="23" t="n"/>
      <c r="K15" s="23" t="n"/>
    </row>
    <row r="16">
      <c r="B16" s="23" t="n"/>
      <c r="C16" s="23" t="n"/>
      <c r="D16" s="24" t="n"/>
      <c r="E16" s="24" t="n"/>
      <c r="F16" s="25">
        <f>IF(OR(D16="",E16=""),"",DATEDIF(D16,E16,"M"))</f>
        <v/>
      </c>
      <c r="G16" s="26" t="n"/>
      <c r="H16" s="23" t="n"/>
      <c r="I16" s="23" t="n"/>
      <c r="J16" s="23" t="n"/>
      <c r="K16" s="23" t="n"/>
    </row>
    <row r="17">
      <c r="B17" s="23" t="n"/>
      <c r="C17" s="23" t="n"/>
      <c r="D17" s="24" t="n"/>
      <c r="E17" s="24" t="n"/>
      <c r="F17" s="25">
        <f>IF(OR(D17="",E17=""),"",DATEDIF(D17,E17,"M"))</f>
        <v/>
      </c>
      <c r="G17" s="26" t="n"/>
      <c r="H17" s="23" t="n"/>
      <c r="I17" s="23" t="n"/>
      <c r="J17" s="23" t="n"/>
      <c r="K17" s="23" t="n"/>
    </row>
    <row r="18">
      <c r="B18" s="23" t="n"/>
      <c r="C18" s="23" t="n"/>
      <c r="D18" s="24" t="n"/>
      <c r="E18" s="24" t="n"/>
      <c r="F18" s="25">
        <f>IF(OR(D18="",E18=""),"",DATEDIF(D18,E18,"M"))</f>
        <v/>
      </c>
      <c r="G18" s="26" t="n"/>
      <c r="H18" s="23" t="n"/>
      <c r="I18" s="23" t="n"/>
      <c r="J18" s="23" t="n"/>
      <c r="K18" s="23" t="n"/>
    </row>
    <row r="19">
      <c r="B19" s="23" t="n"/>
      <c r="C19" s="23" t="n"/>
      <c r="D19" s="24" t="n"/>
      <c r="E19" s="24" t="n"/>
      <c r="F19" s="25">
        <f>IF(OR(D19="",E19=""),"",DATEDIF(D19,E19,"M"))</f>
        <v/>
      </c>
      <c r="G19" s="26" t="n"/>
      <c r="H19" s="23" t="n"/>
      <c r="I19" s="23" t="n"/>
      <c r="J19" s="23" t="n"/>
      <c r="K19" s="23" t="n"/>
    </row>
    <row r="20">
      <c r="B20" s="23" t="n"/>
      <c r="C20" s="23" t="n"/>
      <c r="D20" s="24" t="n"/>
      <c r="E20" s="24" t="n"/>
      <c r="F20" s="25">
        <f>IF(OR(D20="",E20=""),"",DATEDIF(D20,E20,"M"))</f>
        <v/>
      </c>
      <c r="G20" s="26" t="n"/>
      <c r="H20" s="23" t="n"/>
      <c r="I20" s="23" t="n"/>
      <c r="J20" s="23" t="n"/>
      <c r="K20" s="23" t="n"/>
    </row>
    <row r="21">
      <c r="B21" s="23" t="n"/>
      <c r="C21" s="23" t="n"/>
      <c r="D21" s="24" t="n"/>
      <c r="E21" s="24" t="n"/>
      <c r="F21" s="25">
        <f>IF(OR(D21="",E21=""),"",DATEDIF(D21,E21,"M"))</f>
        <v/>
      </c>
      <c r="G21" s="26" t="n"/>
      <c r="H21" s="23" t="n"/>
      <c r="I21" s="23" t="n"/>
      <c r="J21" s="23" t="n"/>
      <c r="K21" s="23" t="n"/>
    </row>
    <row r="22">
      <c r="B22" s="23" t="n"/>
      <c r="C22" s="23" t="n"/>
      <c r="D22" s="24" t="n"/>
      <c r="E22" s="24" t="n"/>
      <c r="F22" s="25">
        <f>IF(OR(D22="",E22=""),"",DATEDIF(D22,E22,"M"))</f>
        <v/>
      </c>
      <c r="G22" s="26" t="n"/>
      <c r="H22" s="23" t="n"/>
      <c r="I22" s="23" t="n"/>
      <c r="J22" s="23" t="n"/>
      <c r="K22" s="23" t="n"/>
    </row>
    <row r="23">
      <c r="B23" s="23" t="n"/>
      <c r="C23" s="23" t="n"/>
      <c r="D23" s="24" t="n"/>
      <c r="E23" s="24" t="n"/>
      <c r="F23" s="25">
        <f>IF(OR(D23="",E23=""),"",DATEDIF(D23,E23,"M"))</f>
        <v/>
      </c>
      <c r="G23" s="26" t="n"/>
      <c r="H23" s="23" t="n"/>
      <c r="I23" s="23" t="n"/>
      <c r="J23" s="23" t="n"/>
      <c r="K23" s="23" t="n"/>
    </row>
    <row r="24">
      <c r="B24" s="23" t="n"/>
      <c r="C24" s="23" t="n"/>
      <c r="D24" s="24" t="n"/>
      <c r="E24" s="24" t="n"/>
      <c r="F24" s="25">
        <f>IF(OR(D24="",E24=""),"",DATEDIF(D24,E24,"M"))</f>
        <v/>
      </c>
      <c r="G24" s="26" t="n"/>
      <c r="H24" s="23" t="n"/>
      <c r="I24" s="23" t="n"/>
      <c r="J24" s="23" t="n"/>
      <c r="K24" s="23" t="n"/>
    </row>
    <row r="25">
      <c r="B25" s="23" t="n"/>
      <c r="C25" s="23" t="n"/>
      <c r="D25" s="24" t="n"/>
      <c r="E25" s="24" t="n"/>
      <c r="F25" s="25">
        <f>IF(OR(D25="",E25=""),"",DATEDIF(D25,E25,"M"))</f>
        <v/>
      </c>
      <c r="G25" s="26" t="n"/>
      <c r="H25" s="23" t="n"/>
      <c r="I25" s="23" t="n"/>
      <c r="J25" s="23" t="n"/>
      <c r="K25" s="23" t="n"/>
    </row>
    <row r="26">
      <c r="B26" s="23" t="n"/>
      <c r="C26" s="23" t="n"/>
      <c r="D26" s="24" t="n"/>
      <c r="E26" s="24" t="n"/>
      <c r="F26" s="25">
        <f>IF(OR(D26="",E26=""),"",DATEDIF(D26,E26,"M"))</f>
        <v/>
      </c>
      <c r="G26" s="26" t="n"/>
      <c r="H26" s="23" t="n"/>
      <c r="I26" s="23" t="n"/>
      <c r="J26" s="23" t="n"/>
      <c r="K26" s="23" t="n"/>
    </row>
    <row r="27">
      <c r="B27" s="23" t="n"/>
      <c r="C27" s="23" t="n"/>
      <c r="D27" s="24" t="n"/>
      <c r="E27" s="24" t="n"/>
      <c r="F27" s="25">
        <f>IF(OR(D27="",E27=""),"",DATEDIF(D27,E27,"M"))</f>
        <v/>
      </c>
      <c r="G27" s="26" t="n"/>
      <c r="H27" s="23" t="n"/>
      <c r="I27" s="23" t="n"/>
      <c r="J27" s="23" t="n"/>
      <c r="K27" s="23" t="n"/>
    </row>
    <row r="28">
      <c r="B28" s="23" t="n"/>
      <c r="C28" s="23" t="n"/>
      <c r="D28" s="24" t="n"/>
      <c r="E28" s="24" t="n"/>
      <c r="F28" s="25">
        <f>IF(OR(D28="",E28=""),"",DATEDIF(D28,E28,"M"))</f>
        <v/>
      </c>
      <c r="G28" s="26" t="n"/>
      <c r="H28" s="23" t="n"/>
      <c r="I28" s="23" t="n"/>
      <c r="J28" s="23" t="n"/>
      <c r="K28" s="23" t="n"/>
    </row>
    <row r="29">
      <c r="B29" s="23" t="n"/>
      <c r="C29" s="23" t="n"/>
      <c r="D29" s="24" t="n"/>
      <c r="E29" s="24" t="n"/>
      <c r="F29" s="25">
        <f>IF(OR(D29="",E29=""),"",DATEDIF(D29,E29,"M"))</f>
        <v/>
      </c>
      <c r="G29" s="26" t="n"/>
      <c r="H29" s="23" t="n"/>
      <c r="I29" s="23" t="n"/>
      <c r="J29" s="23" t="n"/>
      <c r="K29" s="23" t="n"/>
    </row>
    <row r="30">
      <c r="B30" s="23" t="n"/>
      <c r="C30" s="23" t="n"/>
      <c r="D30" s="24" t="n"/>
      <c r="E30" s="24" t="n"/>
      <c r="F30" s="25">
        <f>IF(OR(D30="",E30=""),"",DATEDIF(D30,E30,"M"))</f>
        <v/>
      </c>
      <c r="G30" s="26" t="n"/>
      <c r="H30" s="23" t="n"/>
      <c r="I30" s="23" t="n"/>
      <c r="J30" s="23" t="n"/>
      <c r="K30" s="23" t="n"/>
    </row>
  </sheetData>
  <mergeCells count="2">
    <mergeCell ref="B3:J3"/>
    <mergeCell ref="B2:J2"/>
  </mergeCells>
  <dataValidations count="1">
    <dataValidation sqref="I6:I5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15" t="inlineStr">
        <is>
          <t>How to manage this workbook</t>
        </is>
      </c>
    </row>
    <row r="4">
      <c r="B4" s="7" t="inlineStr">
        <is>
          <t>Overview sheet</t>
        </is>
      </c>
    </row>
    <row r="5">
      <c r="B5" s="27" t="inlineStr">
        <is>
          <t>•  This is your daily dashboard for all 14 apartments.</t>
        </is>
      </c>
    </row>
    <row r="6">
      <c r="B6" s="27" t="inlineStr">
        <is>
          <t>•  Status dropdown: Occupied / Vacant / Notice Given — colors update automatically.</t>
        </is>
      </c>
    </row>
    <row r="7">
      <c r="B7" s="27" t="inlineStr">
        <is>
          <t>•  Occupied For shows how long the current tenant has lived there (years / months / days).</t>
        </is>
      </c>
    </row>
    <row r="8">
      <c r="B8" s="27" t="inlineStr">
        <is>
          <t>•  Update the yellow/white editable fields when something changes; leave formula columns alone.</t>
        </is>
      </c>
    </row>
    <row r="9">
      <c r="B9" s="27" t="inlineStr">
        <is>
          <t>•  KPI boxes at the top count occupied, vacant, notice, and occupancy rate automatically.</t>
        </is>
      </c>
    </row>
    <row r="11">
      <c r="B11" s="7" t="inlineStr">
        <is>
          <t>When a tenant moves in</t>
        </is>
      </c>
    </row>
    <row r="12">
      <c r="B12" s="27" t="inlineStr">
        <is>
          <t>•  Set Status → Occupied.</t>
        </is>
      </c>
    </row>
    <row r="13">
      <c r="B13" s="27" t="inlineStr">
        <is>
          <t>•  Enter Tenant Name and Move-in Date.</t>
        </is>
      </c>
    </row>
    <row r="14">
      <c r="B14" s="27" t="inlineStr">
        <is>
          <t>•  Optionally set Lease End / Notice date and a short note.</t>
        </is>
      </c>
    </row>
    <row r="15">
      <c r="B15" s="27" t="inlineStr">
        <is>
          <t>•  Occupied For starts calculating from the move-in date.</t>
        </is>
      </c>
    </row>
    <row r="17">
      <c r="B17" s="7" t="inlineStr">
        <is>
          <t>When a tenant gives notice</t>
        </is>
      </c>
    </row>
    <row r="18">
      <c r="B18" s="27" t="inlineStr">
        <is>
          <t>•  Change Status → Notice Given (turns yellow).</t>
        </is>
      </c>
    </row>
    <row r="19">
      <c r="B19" s="27" t="inlineStr">
        <is>
          <t>•  Set Lease End / Notice to the last day of the tenancy.</t>
        </is>
      </c>
    </row>
    <row r="20">
      <c r="B20" s="27" t="inlineStr">
        <is>
          <t>•  Add a row on Turnover Plan so you can advertise early.</t>
        </is>
      </c>
    </row>
    <row r="22">
      <c r="B22" s="7" t="inlineStr">
        <is>
          <t>When a tenant moves out</t>
        </is>
      </c>
    </row>
    <row r="23">
      <c r="B23" s="27" t="inlineStr">
        <is>
          <t>•  Copy Apt #, Tenant Name, Move-in Date, and Rent into a new History row.</t>
        </is>
      </c>
    </row>
    <row r="24">
      <c r="B24" s="27" t="inlineStr">
        <is>
          <t>•  Fill Move-out Date and Reason for Leaving.</t>
        </is>
      </c>
    </row>
    <row r="25">
      <c r="B25" s="27" t="inlineStr">
        <is>
          <t>•  Months Occupied calculates automatically.</t>
        </is>
      </c>
    </row>
    <row r="26">
      <c r="B26" s="27" t="inlineStr">
        <is>
          <t>•  On Overview: clear Tenant Name, Move-in, Lease End; set Status → Vacant.</t>
        </is>
      </c>
    </row>
    <row r="27">
      <c r="B27" s="27" t="inlineStr">
        <is>
          <t>•  Add the vacant unit to Turnover Plan until it is re-let.</t>
        </is>
      </c>
    </row>
    <row r="29">
      <c r="B29" s="7" t="inlineStr">
        <is>
          <t>Apartments sheet</t>
        </is>
      </c>
    </row>
    <row r="30">
      <c r="B30" s="27" t="inlineStr">
        <is>
          <t>•  Master list of unit facts: floor, size, rooms, rent, deposit, features.</t>
        </is>
      </c>
    </row>
    <row r="31">
      <c r="B31" s="27" t="inlineStr">
        <is>
          <t>•  Income summary shows potential rent, current rent, and lost rent from vacancies.</t>
        </is>
      </c>
    </row>
    <row r="32">
      <c r="B32" s="27" t="inlineStr">
        <is>
          <t>•  Keep rent figures here and on Overview in sync when you change prices.</t>
        </is>
      </c>
    </row>
    <row r="34">
      <c r="B34" s="7" t="inlineStr">
        <is>
          <t>Tips for high turnover</t>
        </is>
      </c>
    </row>
    <row r="35">
      <c r="B35" s="27" t="inlineStr">
        <is>
          <t>•  Check Overview weekly — anything Vacant or Notice Given needs action.</t>
        </is>
      </c>
    </row>
    <row r="36">
      <c r="B36" s="27" t="inlineStr">
        <is>
          <t>•  Use Turnover Plan to track listings and viewings so units don’t sit empty.</t>
        </is>
      </c>
    </row>
    <row r="37">
      <c r="B37" s="27" t="inlineStr">
        <is>
          <t>•  History helps you spot which apartments turn over often.</t>
        </is>
      </c>
    </row>
    <row r="38">
      <c r="B38" s="27" t="inlineStr">
        <is>
          <t>•  Replace the sample tenant names with your real data when ready.</t>
        </is>
      </c>
    </row>
  </sheetData>
  <mergeCells count="25">
    <mergeCell ref="B7:F7"/>
    <mergeCell ref="B25:F25"/>
    <mergeCell ref="B31:F31"/>
    <mergeCell ref="B27:F27"/>
    <mergeCell ref="B18:F18"/>
    <mergeCell ref="B12:F12"/>
    <mergeCell ref="B2:F2"/>
    <mergeCell ref="B23:F23"/>
    <mergeCell ref="B14:F14"/>
    <mergeCell ref="B8:F8"/>
    <mergeCell ref="B13:F13"/>
    <mergeCell ref="B38:F38"/>
    <mergeCell ref="B19:F19"/>
    <mergeCell ref="B37:F37"/>
    <mergeCell ref="B9:F9"/>
    <mergeCell ref="B30:F30"/>
    <mergeCell ref="B6:F6"/>
    <mergeCell ref="B24:F24"/>
    <mergeCell ref="B20:F20"/>
    <mergeCell ref="B15:F15"/>
    <mergeCell ref="B5:F5"/>
    <mergeCell ref="B36:F36"/>
    <mergeCell ref="B32:F32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2026-08-03T13:05:45Z</dcterms:created>
  <dcterms:modified xsi:type="dcterms:W3CDTF">2026-08-03T13:05:45Z</dcterms:modified>
</cp:coreProperties>
</file>