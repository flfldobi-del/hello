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Uebersicht" sheetId="2" state="visible" r:id="rId2"/>
    <sheet name="Objekt" sheetId="3" state="visible" r:id="rId3"/>
    <sheet name="Mieter" sheetId="4" state="visible" r:id="rId4"/>
    <sheet name="Vertrags-Matrix" sheetId="5" state="visible" r:id="rId5"/>
    <sheet name="Kostenarten" sheetId="6" state="visible" r:id="rId6"/>
    <sheet name="Abr_Mieter1" sheetId="7" state="visible" r:id="rId7"/>
    <sheet name="Abr_Mieter2" sheetId="8" state="visible" r:id="rId8"/>
    <sheet name="Abr_Mieter3" sheetId="9" state="visible" r:id="rId9"/>
    <sheet name="Abr_Mieter4" sheetId="10" state="visible" r:id="rId10"/>
  </sheets>
  <definedNames>
    <definedName name="_xlnm._FilterDatabase" localSheetId="5" hidden="1">'Kostenarten'!$B$5:$Q$35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DD.MM.YYYY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475467"/>
      <sz val="10"/>
    </font>
    <font>
      <name val="Calibri"/>
      <b val="1"/>
      <color rgb="001F4E79"/>
      <sz val="12"/>
    </font>
    <font>
      <name val="Calibri"/>
      <sz val="10"/>
    </font>
    <font>
      <name val="Calibri"/>
      <b val="1"/>
      <color rgb="00344054"/>
      <sz val="10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b val="1"/>
      <color rgb="00C00000"/>
      <sz val="18"/>
    </font>
    <font>
      <name val="Calibri"/>
      <color rgb="00548235"/>
      <sz val="11"/>
    </font>
    <font>
      <name val="Calibri"/>
      <b val="1"/>
      <color rgb="00C00000"/>
      <sz val="14"/>
    </font>
  </fonts>
  <fills count="17">
    <fill>
      <patternFill/>
    </fill>
    <fill>
      <patternFill patternType="gray125"/>
    </fill>
    <fill>
      <patternFill patternType="solid">
        <fgColor rgb="00E8F1F8"/>
      </patternFill>
    </fill>
    <fill>
      <patternFill patternType="solid">
        <fgColor rgb="00FFF8E7"/>
      </patternFill>
    </fill>
    <fill>
      <patternFill patternType="solid">
        <fgColor rgb="00F2F4F7"/>
      </patternFill>
    </fill>
    <fill>
      <patternFill patternType="solid">
        <fgColor rgb="00DEEB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1F4E79"/>
      </patternFill>
    </fill>
    <fill>
      <patternFill patternType="solid">
        <fgColor rgb="00D0E4F5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C65911"/>
      </patternFill>
    </fill>
    <fill>
      <patternFill patternType="solid">
        <fgColor rgb="00D1FADF"/>
      </patternFill>
    </fill>
    <fill>
      <patternFill patternType="solid">
        <fgColor rgb="00FEE4E2"/>
      </patternFill>
    </fill>
  </fills>
  <borders count="6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5" borderId="0" pivotButton="0" quotePrefix="0" xfId="0"/>
    <xf numFmtId="0" fontId="4" fillId="6" borderId="0" applyAlignment="1" pivotButton="0" quotePrefix="0" xfId="0">
      <alignment vertical="center" wrapText="1"/>
    </xf>
    <xf numFmtId="0" fontId="0" fillId="7" borderId="0" pivotButton="0" quotePrefix="0" xfId="0"/>
    <xf numFmtId="0" fontId="0" fillId="8" borderId="0" pivotButton="0" quotePrefix="0" xfId="0"/>
    <xf numFmtId="0" fontId="6" fillId="9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1" pivotButton="0" quotePrefix="0" xfId="0"/>
    <xf numFmtId="2" fontId="0" fillId="0" borderId="1" pivotButton="0" quotePrefix="0" xfId="0"/>
    <xf numFmtId="10" fontId="0" fillId="0" borderId="1" pivotButton="0" quotePrefix="0" xfId="0"/>
    <xf numFmtId="164" fontId="0" fillId="4" borderId="1" pivotButton="0" quotePrefix="0" xfId="0"/>
    <xf numFmtId="164" fontId="7" fillId="1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7" fillId="10" borderId="0" pivotButton="0" quotePrefix="0" xfId="0"/>
    <xf numFmtId="2" fontId="7" fillId="10" borderId="1" pivotButton="0" quotePrefix="0" xfId="0"/>
    <xf numFmtId="10" fontId="7" fillId="10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  <xf numFmtId="0" fontId="0" fillId="3" borderId="1" pivotButton="0" quotePrefix="0" xfId="0"/>
    <xf numFmtId="165" fontId="0" fillId="3" borderId="1" pivotButton="0" quotePrefix="0" xfId="0"/>
    <xf numFmtId="10" fontId="0" fillId="3" borderId="1" pivotButton="0" quotePrefix="0" xfId="0"/>
    <xf numFmtId="0" fontId="0" fillId="4" borderId="1" pivotButton="0" quotePrefix="0" xfId="0"/>
    <xf numFmtId="2" fontId="0" fillId="4" borderId="1" pivotButton="0" quotePrefix="0" xfId="0"/>
    <xf numFmtId="0" fontId="0" fillId="5" borderId="1" applyAlignment="1" pivotButton="0" quotePrefix="0" xfId="0">
      <alignment horizontal="center" vertical="center" wrapText="1"/>
    </xf>
    <xf numFmtId="2" fontId="0" fillId="3" borderId="1" pivotButton="0" quotePrefix="0" xfId="0"/>
    <xf numFmtId="10" fontId="0" fillId="4" borderId="1" pivotButton="0" quotePrefix="0" xfId="0"/>
    <xf numFmtId="164" fontId="0" fillId="3" borderId="1" pivotButton="0" quotePrefix="0" xfId="0"/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 wrapText="1"/>
    </xf>
    <xf numFmtId="0" fontId="1" fillId="5" borderId="0" pivotButton="0" quotePrefix="0" xfId="0"/>
    <xf numFmtId="165" fontId="0" fillId="4" borderId="1" pivotButton="0" quotePrefix="0" xfId="0"/>
    <xf numFmtId="0" fontId="7" fillId="0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10" fillId="7" borderId="0" pivotButton="0" quotePrefix="0" xfId="0"/>
    <xf numFmtId="164" fontId="0" fillId="4" borderId="1" pivotButton="0" quotePrefix="0" xfId="0"/>
    <xf numFmtId="164" fontId="7" fillId="10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D1FADF"/>
        </patternFill>
      </fill>
    </dxf>
    <dxf>
      <fill>
        <patternFill patternType="solid">
          <fgColor rgb="00FEE4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>
      <c r="B2" s="52" t="inlineStr">
        <is>
          <t>NEUE VERSION: 1 Objekt · 4 gewerbliche Mieter</t>
        </is>
      </c>
    </row>
    <row r="3">
      <c r="B3" s="53" t="inlineStr">
        <is>
          <t>Stand 05.08.2026 – Dateiname: Nebenkostenabrechnung_Gewerbe_4_Mieter.xlsx</t>
        </is>
      </c>
    </row>
    <row r="4">
      <c r="B4" s="54" t="inlineStr">
        <is>
          <t>Blätter: Anleitung | Uebersicht | Objekt | Mieter (4) | Vertrags-Matrix | Kostenarten | Abr_Mieter1–4</t>
        </is>
      </c>
    </row>
    <row r="5">
      <c r="B5" s="3" t="inlineStr">
        <is>
          <t>1. Objekt</t>
        </is>
      </c>
    </row>
    <row r="6" ht="36" customHeight="1">
      <c r="B6" s="4" t="inlineStr">
        <is>
          <t>Im Blatt „Objekt“ Adresse, Abrechnungsjahr und USt-Option eintragen.</t>
        </is>
      </c>
    </row>
    <row r="8">
      <c r="B8" s="3" t="inlineStr">
        <is>
          <t>2. Mieter</t>
        </is>
      </c>
    </row>
    <row r="9" ht="36" customHeight="1">
      <c r="B9" s="4" t="inlineStr">
        <is>
          <t>Die 4 gewerblichen Mieter mit Einheit, m², Vorauszahlung und Vertragsdaten pflegen. Flächenanteil wird automatisch berechnet.</t>
        </is>
      </c>
    </row>
    <row r="11">
      <c r="B11" s="3" t="inlineStr">
        <is>
          <t>3. Vertrags-Matrix</t>
        </is>
      </c>
    </row>
    <row r="12" ht="36" customHeight="1">
      <c r="B12" s="4" t="inlineStr">
        <is>
          <t>Umlagefähigkeit laut Mietverträgen prüfen. Weichen Verträge ab, in der Spalte je Mieter vermerken.</t>
        </is>
      </c>
    </row>
    <row r="14">
      <c r="B14" s="3" t="inlineStr">
        <is>
          <t>4. Kostenarten</t>
        </is>
      </c>
    </row>
    <row r="15" ht="36" customHeight="1">
      <c r="B15" s="4" t="inlineStr">
        <is>
          <t>Objekt-Jahreskosten netto erfassen. Bei Verbrauch: Anteile der 4 Mieter manuell setzen (müssen i. d. R. 100 % ergeben).</t>
        </is>
      </c>
    </row>
    <row r="17">
      <c r="B17" s="3" t="inlineStr">
        <is>
          <t>5. Abrechnungen</t>
        </is>
      </c>
    </row>
    <row r="18" ht="36" customHeight="1">
      <c r="B18" s="4" t="inlineStr">
        <is>
          <t>Blätter „Abr_Mieter1“ bis „Abr_Mieter4“ berechnen Anteil, USt und Saldo je Mieter automatisch.</t>
        </is>
      </c>
    </row>
    <row r="20">
      <c r="B20" s="3" t="inlineStr">
        <is>
          <t>Farblegende</t>
        </is>
      </c>
    </row>
    <row r="21" ht="36" customHeight="1">
      <c r="B21" s="5" t="inlineStr">
        <is>
          <t>Gelb = Eingabe</t>
        </is>
      </c>
    </row>
    <row r="22">
      <c r="B22" s="6" t="inlineStr">
        <is>
          <t>Grau = Formel</t>
        </is>
      </c>
    </row>
    <row r="23">
      <c r="B23" s="7" t="inlineStr">
        <is>
          <t>Mieter 1 / 2 / 3 / 4 Farben</t>
        </is>
      </c>
    </row>
    <row r="24" ht="36" customHeight="1">
      <c r="B24" s="8" t="inlineStr">
        <is>
          <t>Mieter 2</t>
        </is>
      </c>
    </row>
    <row r="25">
      <c r="B25" s="9" t="inlineStr">
        <is>
          <t>Mieter 3</t>
        </is>
      </c>
    </row>
    <row r="26">
      <c r="B26" s="10" t="inlineStr">
        <is>
          <t>Mieter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26" customWidth="1" min="4" max="4"/>
    <col width="12" customWidth="1" min="5" max="5"/>
    <col width="14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B1" s="55" t="inlineStr">
        <is>
          <t>VERSION 4 MIETER – bitte diese Datei verwenden</t>
        </is>
      </c>
    </row>
    <row r="2">
      <c r="B2" s="1" t="inlineStr">
        <is>
          <t>Übersicht – Objekt mit 4 gewerblichen Mietern</t>
        </is>
      </c>
    </row>
    <row r="3">
      <c r="B3" s="2">
        <f>Objekt!C5&amp;" · "&amp;TEXT(Objekt!C7,"DD.MM.YYYY")&amp;" – "&amp;TEXT(Objekt!C8,"DD.MM.YYYY")</f>
        <v/>
      </c>
    </row>
    <row r="5">
      <c r="B5" s="11" t="inlineStr">
        <is>
          <t>Nr</t>
        </is>
      </c>
      <c r="C5" s="11" t="inlineStr">
        <is>
          <t>Mieter</t>
        </is>
      </c>
      <c r="D5" s="11" t="inlineStr">
        <is>
          <t>Einheit</t>
        </is>
      </c>
      <c r="E5" s="11" t="inlineStr">
        <is>
          <t>m²</t>
        </is>
      </c>
      <c r="F5" s="11" t="inlineStr">
        <is>
          <t>Anteil</t>
        </is>
      </c>
      <c r="G5" s="11" t="inlineStr">
        <is>
          <t>VZ brutto €</t>
        </is>
      </c>
      <c r="H5" s="11" t="inlineStr">
        <is>
          <t>NK brutto €</t>
        </is>
      </c>
      <c r="I5" s="11" t="inlineStr">
        <is>
          <t>Saldo €</t>
        </is>
      </c>
      <c r="J5" s="11" t="inlineStr">
        <is>
          <t>Abrechnung</t>
        </is>
      </c>
    </row>
    <row r="6">
      <c r="B6" s="12" t="n">
        <v>1</v>
      </c>
      <c r="C6" s="13">
        <f>Mieter!C6</f>
        <v/>
      </c>
      <c r="D6" s="13">
        <f>Mieter!D6</f>
        <v/>
      </c>
      <c r="E6" s="14">
        <f>Mieter!E6</f>
        <v/>
      </c>
      <c r="F6" s="15">
        <f>Mieter!F6</f>
        <v/>
      </c>
      <c r="G6" s="56">
        <f>Mieter!J6</f>
        <v/>
      </c>
      <c r="H6" s="56">
        <f>'Abr_Mieter1'!C43</f>
        <v/>
      </c>
      <c r="I6" s="57">
        <f>'Abr_Mieter1'!C45</f>
        <v/>
      </c>
      <c r="J6" s="12" t="inlineStr">
        <is>
          <t>Abr_Mieter1</t>
        </is>
      </c>
    </row>
    <row r="7">
      <c r="B7" s="18" t="n">
        <v>2</v>
      </c>
      <c r="C7" s="13">
        <f>Mieter!C7</f>
        <v/>
      </c>
      <c r="D7" s="13">
        <f>Mieter!D7</f>
        <v/>
      </c>
      <c r="E7" s="14">
        <f>Mieter!E7</f>
        <v/>
      </c>
      <c r="F7" s="15">
        <f>Mieter!F7</f>
        <v/>
      </c>
      <c r="G7" s="56">
        <f>Mieter!J7</f>
        <v/>
      </c>
      <c r="H7" s="56">
        <f>'Abr_Mieter2'!C43</f>
        <v/>
      </c>
      <c r="I7" s="57">
        <f>'Abr_Mieter2'!C45</f>
        <v/>
      </c>
      <c r="J7" s="18" t="inlineStr">
        <is>
          <t>Abr_Mieter2</t>
        </is>
      </c>
    </row>
    <row r="8">
      <c r="B8" s="19" t="n">
        <v>3</v>
      </c>
      <c r="C8" s="13">
        <f>Mieter!C8</f>
        <v/>
      </c>
      <c r="D8" s="13">
        <f>Mieter!D8</f>
        <v/>
      </c>
      <c r="E8" s="14">
        <f>Mieter!E8</f>
        <v/>
      </c>
      <c r="F8" s="15">
        <f>Mieter!F8</f>
        <v/>
      </c>
      <c r="G8" s="56">
        <f>Mieter!J8</f>
        <v/>
      </c>
      <c r="H8" s="56">
        <f>'Abr_Mieter3'!C43</f>
        <v/>
      </c>
      <c r="I8" s="57">
        <f>'Abr_Mieter3'!C45</f>
        <v/>
      </c>
      <c r="J8" s="19" t="inlineStr">
        <is>
          <t>Abr_Mieter3</t>
        </is>
      </c>
    </row>
    <row r="9">
      <c r="B9" s="20" t="n">
        <v>4</v>
      </c>
      <c r="C9" s="13">
        <f>Mieter!C9</f>
        <v/>
      </c>
      <c r="D9" s="13">
        <f>Mieter!D9</f>
        <v/>
      </c>
      <c r="E9" s="14">
        <f>Mieter!E9</f>
        <v/>
      </c>
      <c r="F9" s="15">
        <f>Mieter!F9</f>
        <v/>
      </c>
      <c r="G9" s="56">
        <f>Mieter!J9</f>
        <v/>
      </c>
      <c r="H9" s="56">
        <f>'Abr_Mieter4'!C43</f>
        <v/>
      </c>
      <c r="I9" s="57">
        <f>'Abr_Mieter4'!C45</f>
        <v/>
      </c>
      <c r="J9" s="20" t="inlineStr">
        <is>
          <t>Abr_Mieter4</t>
        </is>
      </c>
    </row>
    <row r="10">
      <c r="C10" s="21" t="inlineStr">
        <is>
          <t>SUMME</t>
        </is>
      </c>
      <c r="E10" s="22">
        <f>SUM(E6:E9)</f>
        <v/>
      </c>
      <c r="F10" s="23">
        <f>SUM(F6:F9)</f>
        <v/>
      </c>
      <c r="G10" s="57">
        <f>SUM(G6:G9)</f>
        <v/>
      </c>
      <c r="H10" s="57">
        <f>SUM(H6:H9)</f>
        <v/>
      </c>
      <c r="I10" s="57">
        <f>SUM(I6:I9)</f>
        <v/>
      </c>
    </row>
    <row r="12">
      <c r="B12" s="3" t="inlineStr">
        <is>
          <t>Checkliste vor Versand</t>
        </is>
      </c>
    </row>
    <row r="13">
      <c r="B13" s="24" t="inlineStr">
        <is>
          <t>☐</t>
        </is>
      </c>
      <c r="C13" s="13" t="inlineStr">
        <is>
          <t>Alle 4 Mietverträge auf Umlagefähigkeit geprüft (Vertrags-Matrix M1–M4)</t>
        </is>
      </c>
      <c r="D13" s="25" t="n"/>
      <c r="E13" s="25" t="n"/>
      <c r="F13" s="25" t="n"/>
      <c r="G13" s="25" t="n"/>
      <c r="H13" s="25" t="n"/>
      <c r="I13" s="25" t="n"/>
      <c r="J13" s="26" t="n"/>
    </row>
    <row r="14">
      <c r="B14" s="24" t="inlineStr">
        <is>
          <t>☐</t>
        </is>
      </c>
      <c r="C14" s="13" t="inlineStr">
        <is>
          <t>Flächenanteile Summe = 100 %</t>
        </is>
      </c>
      <c r="D14" s="25" t="n"/>
      <c r="E14" s="25" t="n"/>
      <c r="F14" s="25" t="n"/>
      <c r="G14" s="25" t="n"/>
      <c r="H14" s="25" t="n"/>
      <c r="I14" s="25" t="n"/>
      <c r="J14" s="26" t="n"/>
    </row>
    <row r="15">
      <c r="B15" s="24" t="inlineStr">
        <is>
          <t>☐</t>
        </is>
      </c>
      <c r="C15" s="13" t="inlineStr">
        <is>
          <t>Verbrauchsanteile je Kostenart plausibel / Summe ≈ 100 %</t>
        </is>
      </c>
      <c r="D15" s="25" t="n"/>
      <c r="E15" s="25" t="n"/>
      <c r="F15" s="25" t="n"/>
      <c r="G15" s="25" t="n"/>
      <c r="H15" s="25" t="n"/>
      <c r="I15" s="25" t="n"/>
      <c r="J15" s="26" t="n"/>
    </row>
    <row r="16">
      <c r="B16" s="24" t="inlineStr">
        <is>
          <t>☐</t>
        </is>
      </c>
      <c r="C16" s="13" t="inlineStr">
        <is>
          <t>USt-Option korrekt, Nettoerfassung, Vorauszahlungen brutto</t>
        </is>
      </c>
      <c r="D16" s="25" t="n"/>
      <c r="E16" s="25" t="n"/>
      <c r="F16" s="25" t="n"/>
      <c r="G16" s="25" t="n"/>
      <c r="H16" s="25" t="n"/>
      <c r="I16" s="25" t="n"/>
      <c r="J16" s="26" t="n"/>
    </row>
    <row r="17">
      <c r="B17" s="24" t="inlineStr">
        <is>
          <t>☐</t>
        </is>
      </c>
      <c r="C17" s="13" t="inlineStr">
        <is>
          <t>Je Mieter Abrechnungsblatt geprüft und Versand dokumentiert</t>
        </is>
      </c>
      <c r="D17" s="25" t="n"/>
      <c r="E17" s="25" t="n"/>
      <c r="F17" s="25" t="n"/>
      <c r="G17" s="25" t="n"/>
      <c r="H17" s="25" t="n"/>
      <c r="I17" s="25" t="n"/>
      <c r="J17" s="26" t="n"/>
    </row>
    <row r="19">
      <c r="B19" s="2" t="inlineStr">
        <is>
          <t>Arbeitshilfe, keine Rechts-/Steuerberatung.</t>
        </is>
      </c>
    </row>
  </sheetData>
  <mergeCells count="5">
    <mergeCell ref="C17:J17"/>
    <mergeCell ref="C15:J15"/>
    <mergeCell ref="C16:J16"/>
    <mergeCell ref="C14:J14"/>
    <mergeCell ref="C13:J13"/>
  </mergeCells>
  <dataValidations count="1">
    <dataValidation sqref="B13:B20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36" customWidth="1" min="3" max="3"/>
  </cols>
  <sheetData>
    <row r="2">
      <c r="B2" s="1" t="inlineStr">
        <is>
          <t>Objekt-Stammdaten</t>
        </is>
      </c>
    </row>
    <row r="3">
      <c r="B3" s="2" t="inlineStr">
        <is>
          <t>Gemeinsam für alle 4 gewerblichen Mieter</t>
        </is>
      </c>
    </row>
    <row r="5">
      <c r="B5" s="27" t="inlineStr">
        <is>
          <t>Objekt / Adresse</t>
        </is>
      </c>
      <c r="C5" s="28" t="inlineStr">
        <is>
          <t>Musterstraße 1, 80331 München</t>
        </is>
      </c>
    </row>
    <row r="6">
      <c r="B6" s="27" t="inlineStr">
        <is>
          <t>Objektbezeichnung</t>
        </is>
      </c>
      <c r="C6" s="28" t="inlineStr">
        <is>
          <t>Gewerbeobjekt Musterhof</t>
        </is>
      </c>
    </row>
    <row r="7">
      <c r="B7" s="27" t="inlineStr">
        <is>
          <t>Abrechnungszeitraum von</t>
        </is>
      </c>
      <c r="C7" s="29" t="n">
        <v>45658</v>
      </c>
    </row>
    <row r="8">
      <c r="B8" s="27" t="inlineStr">
        <is>
          <t>Abrechnungszeitraum bis</t>
        </is>
      </c>
      <c r="C8" s="29" t="n">
        <v>46022</v>
      </c>
    </row>
    <row r="9">
      <c r="B9" s="27" t="inlineStr">
        <is>
          <t>USt-Option Vermietung</t>
        </is>
      </c>
      <c r="C9" s="28" t="inlineStr">
        <is>
          <t>Ja</t>
        </is>
      </c>
    </row>
    <row r="10">
      <c r="B10" s="27" t="inlineStr">
        <is>
          <t>USt-Satz</t>
        </is>
      </c>
      <c r="C10" s="30" t="n">
        <v>0.19</v>
      </c>
    </row>
    <row r="11">
      <c r="B11" s="27" t="inlineStr">
        <is>
          <t>Anzahl Mieter</t>
        </is>
      </c>
      <c r="C11" s="31">
        <f>COUNTA(Mieter!C6:C9)</f>
        <v/>
      </c>
    </row>
    <row r="12">
      <c r="B12" s="27" t="inlineStr">
        <is>
          <t>Gesamtfläche Abrechnungseinheit m²</t>
        </is>
      </c>
      <c r="C12" s="32">
        <f>SUM(Mieter!E6:E9)</f>
        <v/>
      </c>
    </row>
    <row r="14">
      <c r="B14" s="2" t="inlineStr">
        <is>
          <t>Hinweis: Gesamtfläche = Summe der Mieterflächen (Blatt Mieter). Leerstand separat behandeln.</t>
        </is>
      </c>
    </row>
  </sheetData>
  <dataValidations count="1">
    <dataValidation sqref="C9" showDropDown="0" showInputMessage="0" showErrorMessage="0" allowBlank="0" type="list">
      <formula1>"Ja,Nein"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12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26" customWidth="1" min="4" max="4"/>
    <col width="12" customWidth="1" min="5" max="5"/>
    <col width="12" customWidth="1" min="6" max="6"/>
    <col width="16" customWidth="1" min="7" max="7"/>
    <col width="14" customWidth="1" min="8" max="8"/>
    <col width="16" customWidth="1" min="9" max="9"/>
    <col width="16" customWidth="1" min="10" max="10"/>
    <col width="18" customWidth="1" min="11" max="11"/>
  </cols>
  <sheetData>
    <row r="2">
      <c r="B2" s="1" t="inlineStr">
        <is>
          <t>Mieterübersicht – 4 gewerbliche Mieter</t>
        </is>
      </c>
    </row>
    <row r="3">
      <c r="B3" s="2" t="inlineStr">
        <is>
          <t>Gelbe Felder pflegen. Flächenanteil und Vorauszahlungen werden berechnet.</t>
        </is>
      </c>
    </row>
    <row r="5" ht="32" customHeight="1">
      <c r="B5" s="11" t="inlineStr">
        <is>
          <t>Nr</t>
        </is>
      </c>
      <c r="C5" s="11" t="inlineStr">
        <is>
          <t>Mieter / Firma</t>
        </is>
      </c>
      <c r="D5" s="11" t="inlineStr">
        <is>
          <t>Einheit</t>
        </is>
      </c>
      <c r="E5" s="11" t="inlineStr">
        <is>
          <t>Fläche m²</t>
        </is>
      </c>
      <c r="F5" s="11" t="inlineStr">
        <is>
          <t>Anteil %</t>
        </is>
      </c>
      <c r="G5" s="11" t="inlineStr">
        <is>
          <t>NK/Monat netto €</t>
        </is>
      </c>
      <c r="H5" s="11" t="inlineStr">
        <is>
          <t>Monate</t>
        </is>
      </c>
      <c r="I5" s="11" t="inlineStr">
        <is>
          <t>VZ Zeitraum netto €</t>
        </is>
      </c>
      <c r="J5" s="11" t="inlineStr">
        <is>
          <t>VZ brutto €</t>
        </is>
      </c>
      <c r="K5" s="11" t="inlineStr">
        <is>
          <t>Vertragsbeginn</t>
        </is>
      </c>
    </row>
    <row r="6">
      <c r="B6" s="33" t="n">
        <v>1</v>
      </c>
      <c r="C6" s="28" t="inlineStr">
        <is>
          <t>Mieter 1 – Alpha Handel GmbH</t>
        </is>
      </c>
      <c r="D6" s="28" t="inlineStr">
        <is>
          <t>EG links / Laden</t>
        </is>
      </c>
      <c r="E6" s="34" t="n">
        <v>180</v>
      </c>
      <c r="F6" s="35">
        <f>IF(Objekt!$C$12=0,0,E6/Objekt!$C$12)</f>
        <v/>
      </c>
      <c r="G6" s="58" t="n">
        <v>520</v>
      </c>
      <c r="H6" s="28" t="n">
        <v>12</v>
      </c>
      <c r="I6" s="56">
        <f>G6*H6</f>
        <v/>
      </c>
      <c r="J6" s="56">
        <f>IF(Objekt!$C$9="Ja",I6*(1+Objekt!$C$10),I6)</f>
        <v/>
      </c>
      <c r="K6" s="28" t="inlineStr">
        <is>
          <t>01.03.2022</t>
        </is>
      </c>
    </row>
    <row r="7">
      <c r="B7" s="37" t="n">
        <v>2</v>
      </c>
      <c r="C7" s="28" t="inlineStr">
        <is>
          <t>Mieter 2 – Beta Services KG</t>
        </is>
      </c>
      <c r="D7" s="28" t="inlineStr">
        <is>
          <t>EG rechts / Büro</t>
        </is>
      </c>
      <c r="E7" s="34" t="n">
        <v>140</v>
      </c>
      <c r="F7" s="35">
        <f>IF(Objekt!$C$12=0,0,E7/Objekt!$C$12)</f>
        <v/>
      </c>
      <c r="G7" s="58" t="n">
        <v>410</v>
      </c>
      <c r="H7" s="28" t="n">
        <v>12</v>
      </c>
      <c r="I7" s="56">
        <f>G7*H7</f>
        <v/>
      </c>
      <c r="J7" s="56">
        <f>IF(Objekt!$C$9="Ja",I7*(1+Objekt!$C$10),I7)</f>
        <v/>
      </c>
      <c r="K7" s="28" t="inlineStr">
        <is>
          <t>01.07.2023</t>
        </is>
      </c>
    </row>
    <row r="8">
      <c r="B8" s="38" t="n">
        <v>3</v>
      </c>
      <c r="C8" s="28" t="inlineStr">
        <is>
          <t>Mieter 3 – Gamma Gastro GmbH</t>
        </is>
      </c>
      <c r="D8" s="28" t="inlineStr">
        <is>
          <t>1. OG / Gastronomie</t>
        </is>
      </c>
      <c r="E8" s="34" t="n">
        <v>220</v>
      </c>
      <c r="F8" s="35">
        <f>IF(Objekt!$C$12=0,0,E8/Objekt!$C$12)</f>
        <v/>
      </c>
      <c r="G8" s="58" t="n">
        <v>680</v>
      </c>
      <c r="H8" s="28" t="n">
        <v>12</v>
      </c>
      <c r="I8" s="56">
        <f>G8*H8</f>
        <v/>
      </c>
      <c r="J8" s="56">
        <f>IF(Objekt!$C$9="Ja",I8*(1+Objekt!$C$10),I8)</f>
        <v/>
      </c>
      <c r="K8" s="28" t="inlineStr">
        <is>
          <t>01.01.2021</t>
        </is>
      </c>
    </row>
    <row r="9">
      <c r="B9" s="39" t="n">
        <v>4</v>
      </c>
      <c r="C9" s="28" t="inlineStr">
        <is>
          <t>Mieter 4 – Delta Praxis Dr. Muster</t>
        </is>
      </c>
      <c r="D9" s="28" t="inlineStr">
        <is>
          <t>2. OG / Praxis</t>
        </is>
      </c>
      <c r="E9" s="34" t="n">
        <v>160</v>
      </c>
      <c r="F9" s="35">
        <f>IF(Objekt!$C$12=0,0,E9/Objekt!$C$12)</f>
        <v/>
      </c>
      <c r="G9" s="58" t="n">
        <v>470</v>
      </c>
      <c r="H9" s="28" t="n">
        <v>12</v>
      </c>
      <c r="I9" s="56">
        <f>G9*H9</f>
        <v/>
      </c>
      <c r="J9" s="56">
        <f>IF(Objekt!$C$9="Ja",I9*(1+Objekt!$C$10),I9)</f>
        <v/>
      </c>
      <c r="K9" s="28" t="inlineStr">
        <is>
          <t>15.09.2024</t>
        </is>
      </c>
    </row>
    <row r="10">
      <c r="C10" s="21" t="inlineStr">
        <is>
          <t>SUMME / Kontrolle</t>
        </is>
      </c>
      <c r="E10" s="22">
        <f>SUM(E6:E9)</f>
        <v/>
      </c>
      <c r="F10" s="23">
        <f>SUM(F6:F9)</f>
        <v/>
      </c>
      <c r="I10" s="57">
        <f>SUM(I6:I9)</f>
        <v/>
      </c>
      <c r="J10" s="57">
        <f>SUM(J6:J9)</f>
        <v/>
      </c>
    </row>
    <row r="12">
      <c r="B12" s="2" t="inlineStr">
        <is>
          <t>Flächenanteile müssen in Summe 100 % ergeben (wenn nur diese 4 Mieter die Abrechnungseinheit bilden).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28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28" customWidth="1" min="10" max="10"/>
  </cols>
  <sheetData>
    <row r="2">
      <c r="B2" s="1" t="inlineStr">
        <is>
          <t>Vertrags-Matrix – Umlagefähigkeit je Kostenart</t>
        </is>
      </c>
    </row>
    <row r="3">
      <c r="B3" s="2" t="inlineStr">
        <is>
          <t>Standard: Ja/Nein für alle. Weicht ein Mietvertrag ab, Spalte M1–M4 auf Nein setzen.</t>
        </is>
      </c>
    </row>
    <row r="5">
      <c r="B5" s="11" t="inlineStr">
        <is>
          <t>Nr</t>
        </is>
      </c>
      <c r="C5" s="11" t="inlineStr">
        <is>
          <t>Kostenart</t>
        </is>
      </c>
      <c r="D5" s="11" t="inlineStr">
        <is>
          <t>Standard umlagefähig?</t>
        </is>
      </c>
      <c r="E5" s="40" t="inlineStr">
        <is>
          <t>M1</t>
        </is>
      </c>
      <c r="F5" s="41" t="inlineStr">
        <is>
          <t>M2</t>
        </is>
      </c>
      <c r="G5" s="42" t="inlineStr">
        <is>
          <t>M3</t>
        </is>
      </c>
      <c r="H5" s="43" t="inlineStr">
        <is>
          <t>M4</t>
        </is>
      </c>
      <c r="I5" s="11" t="inlineStr">
        <is>
          <t>Schlüssel</t>
        </is>
      </c>
      <c r="J5" s="11" t="inlineStr">
        <is>
          <t>Bemerkung</t>
        </is>
      </c>
    </row>
    <row r="6">
      <c r="B6" s="13" t="n">
        <v>1</v>
      </c>
      <c r="C6" s="13" t="inlineStr">
        <is>
          <t>Grundsteuer</t>
        </is>
      </c>
      <c r="D6" s="44" t="inlineStr">
        <is>
          <t>Ja</t>
        </is>
      </c>
      <c r="E6" s="24" t="inlineStr">
        <is>
          <t>Ja</t>
        </is>
      </c>
      <c r="F6" s="24" t="inlineStr">
        <is>
          <t>Ja</t>
        </is>
      </c>
      <c r="G6" s="24" t="inlineStr">
        <is>
          <t>Ja</t>
        </is>
      </c>
      <c r="H6" s="24" t="inlineStr">
        <is>
          <t>Ja</t>
        </is>
      </c>
      <c r="I6" s="24" t="inlineStr">
        <is>
          <t>Fläche</t>
        </is>
      </c>
      <c r="J6" s="28" t="n"/>
    </row>
    <row r="7">
      <c r="B7" s="13" t="n">
        <v>2</v>
      </c>
      <c r="C7" s="13" t="inlineStr">
        <is>
          <t>Wasser / Abwasser</t>
        </is>
      </c>
      <c r="D7" s="44" t="inlineStr">
        <is>
          <t>Ja</t>
        </is>
      </c>
      <c r="E7" s="24" t="inlineStr">
        <is>
          <t>Ja</t>
        </is>
      </c>
      <c r="F7" s="24" t="inlineStr">
        <is>
          <t>Ja</t>
        </is>
      </c>
      <c r="G7" s="24" t="inlineStr">
        <is>
          <t>Ja</t>
        </is>
      </c>
      <c r="H7" s="24" t="inlineStr">
        <is>
          <t>Ja</t>
        </is>
      </c>
      <c r="I7" s="24" t="inlineStr">
        <is>
          <t>Verbrauch</t>
        </is>
      </c>
      <c r="J7" s="28" t="n"/>
    </row>
    <row r="8">
      <c r="B8" s="13" t="n">
        <v>3</v>
      </c>
      <c r="C8" s="13" t="inlineStr">
        <is>
          <t>Heizung / Warmwasser</t>
        </is>
      </c>
      <c r="D8" s="44" t="inlineStr">
        <is>
          <t>Ja</t>
        </is>
      </c>
      <c r="E8" s="24" t="inlineStr">
        <is>
          <t>Ja</t>
        </is>
      </c>
      <c r="F8" s="24" t="inlineStr">
        <is>
          <t>Ja</t>
        </is>
      </c>
      <c r="G8" s="24" t="inlineStr">
        <is>
          <t>Ja</t>
        </is>
      </c>
      <c r="H8" s="24" t="inlineStr">
        <is>
          <t>Ja</t>
        </is>
      </c>
      <c r="I8" s="24" t="inlineStr">
        <is>
          <t>Verbrauch</t>
        </is>
      </c>
      <c r="J8" s="28" t="n"/>
    </row>
    <row r="9">
      <c r="B9" s="13" t="n">
        <v>4</v>
      </c>
      <c r="C9" s="13" t="inlineStr">
        <is>
          <t>Straßenreinigung / Müll</t>
        </is>
      </c>
      <c r="D9" s="44" t="inlineStr">
        <is>
          <t>Ja</t>
        </is>
      </c>
      <c r="E9" s="24" t="inlineStr">
        <is>
          <t>Ja</t>
        </is>
      </c>
      <c r="F9" s="24" t="inlineStr">
        <is>
          <t>Ja</t>
        </is>
      </c>
      <c r="G9" s="24" t="inlineStr">
        <is>
          <t>Ja</t>
        </is>
      </c>
      <c r="H9" s="24" t="inlineStr">
        <is>
          <t>Ja</t>
        </is>
      </c>
      <c r="I9" s="24" t="inlineStr">
        <is>
          <t>Fläche</t>
        </is>
      </c>
      <c r="J9" s="28" t="n"/>
    </row>
    <row r="10">
      <c r="B10" s="13" t="n">
        <v>5</v>
      </c>
      <c r="C10" s="13" t="inlineStr">
        <is>
          <t>Gebäudeversicherung</t>
        </is>
      </c>
      <c r="D10" s="44" t="inlineStr">
        <is>
          <t>Ja</t>
        </is>
      </c>
      <c r="E10" s="24" t="inlineStr">
        <is>
          <t>Ja</t>
        </is>
      </c>
      <c r="F10" s="24" t="inlineStr">
        <is>
          <t>Ja</t>
        </is>
      </c>
      <c r="G10" s="24" t="inlineStr">
        <is>
          <t>Ja</t>
        </is>
      </c>
      <c r="H10" s="24" t="inlineStr">
        <is>
          <t>Ja</t>
        </is>
      </c>
      <c r="I10" s="24" t="inlineStr">
        <is>
          <t>Fläche</t>
        </is>
      </c>
      <c r="J10" s="28" t="n"/>
    </row>
    <row r="11">
      <c r="B11" s="13" t="n">
        <v>6</v>
      </c>
      <c r="C11" s="13" t="inlineStr">
        <is>
          <t>Haftpflicht Gebäude</t>
        </is>
      </c>
      <c r="D11" s="44" t="inlineStr">
        <is>
          <t>Ja</t>
        </is>
      </c>
      <c r="E11" s="24" t="inlineStr">
        <is>
          <t>Ja</t>
        </is>
      </c>
      <c r="F11" s="24" t="inlineStr">
        <is>
          <t>Ja</t>
        </is>
      </c>
      <c r="G11" s="24" t="inlineStr">
        <is>
          <t>Ja</t>
        </is>
      </c>
      <c r="H11" s="24" t="inlineStr">
        <is>
          <t>Ja</t>
        </is>
      </c>
      <c r="I11" s="24" t="inlineStr">
        <is>
          <t>Fläche</t>
        </is>
      </c>
      <c r="J11" s="28" t="n"/>
    </row>
    <row r="12">
      <c r="B12" s="13" t="n">
        <v>7</v>
      </c>
      <c r="C12" s="13" t="inlineStr">
        <is>
          <t>Hausmeister / Facility</t>
        </is>
      </c>
      <c r="D12" s="44" t="inlineStr">
        <is>
          <t>Ja</t>
        </is>
      </c>
      <c r="E12" s="24" t="inlineStr">
        <is>
          <t>Ja</t>
        </is>
      </c>
      <c r="F12" s="24" t="inlineStr">
        <is>
          <t>Ja</t>
        </is>
      </c>
      <c r="G12" s="24" t="inlineStr">
        <is>
          <t>Ja</t>
        </is>
      </c>
      <c r="H12" s="24" t="inlineStr">
        <is>
          <t>Ja</t>
        </is>
      </c>
      <c r="I12" s="24" t="inlineStr">
        <is>
          <t>Fläche</t>
        </is>
      </c>
      <c r="J12" s="28" t="n"/>
    </row>
    <row r="13">
      <c r="B13" s="13" t="n">
        <v>8</v>
      </c>
      <c r="C13" s="13" t="inlineStr">
        <is>
          <t>Gartenpflege / Außenanlagen</t>
        </is>
      </c>
      <c r="D13" s="44" t="inlineStr">
        <is>
          <t>Ja</t>
        </is>
      </c>
      <c r="E13" s="24" t="inlineStr">
        <is>
          <t>Ja</t>
        </is>
      </c>
      <c r="F13" s="24" t="inlineStr">
        <is>
          <t>Ja</t>
        </is>
      </c>
      <c r="G13" s="24" t="inlineStr">
        <is>
          <t>Ja</t>
        </is>
      </c>
      <c r="H13" s="24" t="inlineStr">
        <is>
          <t>Ja</t>
        </is>
      </c>
      <c r="I13" s="24" t="inlineStr">
        <is>
          <t>Fläche</t>
        </is>
      </c>
      <c r="J13" s="28" t="n"/>
    </row>
    <row r="14">
      <c r="B14" s="13" t="n">
        <v>9</v>
      </c>
      <c r="C14" s="13" t="inlineStr">
        <is>
          <t>Aufzug Wartung</t>
        </is>
      </c>
      <c r="D14" s="44" t="inlineStr">
        <is>
          <t>Ja</t>
        </is>
      </c>
      <c r="E14" s="24" t="inlineStr">
        <is>
          <t>Ja</t>
        </is>
      </c>
      <c r="F14" s="24" t="inlineStr">
        <is>
          <t>Ja</t>
        </is>
      </c>
      <c r="G14" s="24" t="inlineStr">
        <is>
          <t>Ja</t>
        </is>
      </c>
      <c r="H14" s="24" t="inlineStr">
        <is>
          <t>Ja</t>
        </is>
      </c>
      <c r="I14" s="24" t="inlineStr">
        <is>
          <t>Fläche</t>
        </is>
      </c>
      <c r="J14" s="28" t="n"/>
    </row>
    <row r="15">
      <c r="B15" s="13" t="n">
        <v>10</v>
      </c>
      <c r="C15" s="13" t="inlineStr">
        <is>
          <t>Aufzug Instandsetzung</t>
        </is>
      </c>
      <c r="D15" s="45" t="inlineStr">
        <is>
          <t>Nein</t>
        </is>
      </c>
      <c r="E15" s="24" t="inlineStr">
        <is>
          <t>Nein</t>
        </is>
      </c>
      <c r="F15" s="24" t="inlineStr">
        <is>
          <t>Nein</t>
        </is>
      </c>
      <c r="G15" s="24" t="inlineStr">
        <is>
          <t>Nein</t>
        </is>
      </c>
      <c r="H15" s="24" t="inlineStr">
        <is>
          <t>Nein</t>
        </is>
      </c>
      <c r="I15" s="24" t="inlineStr">
        <is>
          <t>Fläche</t>
        </is>
      </c>
      <c r="J15" s="28" t="n"/>
    </row>
    <row r="16">
      <c r="B16" s="13" t="n">
        <v>11</v>
      </c>
      <c r="C16" s="13" t="inlineStr">
        <is>
          <t>Klima- / Lüftungsanlage Wartung</t>
        </is>
      </c>
      <c r="D16" s="44" t="inlineStr">
        <is>
          <t>Ja</t>
        </is>
      </c>
      <c r="E16" s="24" t="inlineStr">
        <is>
          <t>Ja</t>
        </is>
      </c>
      <c r="F16" s="24" t="inlineStr">
        <is>
          <t>Ja</t>
        </is>
      </c>
      <c r="G16" s="24" t="inlineStr">
        <is>
          <t>Ja</t>
        </is>
      </c>
      <c r="H16" s="24" t="inlineStr">
        <is>
          <t>Ja</t>
        </is>
      </c>
      <c r="I16" s="24" t="inlineStr">
        <is>
          <t>Fläche</t>
        </is>
      </c>
      <c r="J16" s="28" t="n"/>
    </row>
    <row r="17">
      <c r="B17" s="13" t="n">
        <v>12</v>
      </c>
      <c r="C17" s="13" t="inlineStr">
        <is>
          <t>Brandschutz / Sicherheitstechnik</t>
        </is>
      </c>
      <c r="D17" s="44" t="inlineStr">
        <is>
          <t>Ja</t>
        </is>
      </c>
      <c r="E17" s="24" t="inlineStr">
        <is>
          <t>Ja</t>
        </is>
      </c>
      <c r="F17" s="24" t="inlineStr">
        <is>
          <t>Ja</t>
        </is>
      </c>
      <c r="G17" s="24" t="inlineStr">
        <is>
          <t>Ja</t>
        </is>
      </c>
      <c r="H17" s="24" t="inlineStr">
        <is>
          <t>Ja</t>
        </is>
      </c>
      <c r="I17" s="24" t="inlineStr">
        <is>
          <t>Fläche</t>
        </is>
      </c>
      <c r="J17" s="28" t="n"/>
    </row>
    <row r="18">
      <c r="B18" s="13" t="n">
        <v>13</v>
      </c>
      <c r="C18" s="13" t="inlineStr">
        <is>
          <t>Sicherheit / Bewachung</t>
        </is>
      </c>
      <c r="D18" s="44" t="inlineStr">
        <is>
          <t>Ja</t>
        </is>
      </c>
      <c r="E18" s="24" t="inlineStr">
        <is>
          <t>Ja</t>
        </is>
      </c>
      <c r="F18" s="24" t="inlineStr">
        <is>
          <t>Ja</t>
        </is>
      </c>
      <c r="G18" s="24" t="inlineStr">
        <is>
          <t>Ja</t>
        </is>
      </c>
      <c r="H18" s="24" t="inlineStr">
        <is>
          <t>Ja</t>
        </is>
      </c>
      <c r="I18" s="24" t="inlineStr">
        <is>
          <t>Fläche</t>
        </is>
      </c>
      <c r="J18" s="28" t="n"/>
    </row>
    <row r="19">
      <c r="B19" s="13" t="n">
        <v>14</v>
      </c>
      <c r="C19" s="13" t="inlineStr">
        <is>
          <t>Reinigung Gemeinschaftsflächen</t>
        </is>
      </c>
      <c r="D19" s="44" t="inlineStr">
        <is>
          <t>Ja</t>
        </is>
      </c>
      <c r="E19" s="24" t="inlineStr">
        <is>
          <t>Ja</t>
        </is>
      </c>
      <c r="F19" s="24" t="inlineStr">
        <is>
          <t>Ja</t>
        </is>
      </c>
      <c r="G19" s="24" t="inlineStr">
        <is>
          <t>Ja</t>
        </is>
      </c>
      <c r="H19" s="24" t="inlineStr">
        <is>
          <t>Ja</t>
        </is>
      </c>
      <c r="I19" s="24" t="inlineStr">
        <is>
          <t>Fläche</t>
        </is>
      </c>
      <c r="J19" s="28" t="n"/>
    </row>
    <row r="20">
      <c r="B20" s="13" t="n">
        <v>15</v>
      </c>
      <c r="C20" s="13" t="inlineStr">
        <is>
          <t>Beleuchtung Allgemein</t>
        </is>
      </c>
      <c r="D20" s="44" t="inlineStr">
        <is>
          <t>Ja</t>
        </is>
      </c>
      <c r="E20" s="24" t="inlineStr">
        <is>
          <t>Ja</t>
        </is>
      </c>
      <c r="F20" s="24" t="inlineStr">
        <is>
          <t>Ja</t>
        </is>
      </c>
      <c r="G20" s="24" t="inlineStr">
        <is>
          <t>Ja</t>
        </is>
      </c>
      <c r="H20" s="24" t="inlineStr">
        <is>
          <t>Ja</t>
        </is>
      </c>
      <c r="I20" s="24" t="inlineStr">
        <is>
          <t>Fläche</t>
        </is>
      </c>
      <c r="J20" s="28" t="n"/>
    </row>
    <row r="21">
      <c r="B21" s="13" t="n">
        <v>16</v>
      </c>
      <c r="C21" s="13" t="inlineStr">
        <is>
          <t>Niederschlagswasser</t>
        </is>
      </c>
      <c r="D21" s="44" t="inlineStr">
        <is>
          <t>Ja</t>
        </is>
      </c>
      <c r="E21" s="24" t="inlineStr">
        <is>
          <t>Ja</t>
        </is>
      </c>
      <c r="F21" s="24" t="inlineStr">
        <is>
          <t>Ja</t>
        </is>
      </c>
      <c r="G21" s="24" t="inlineStr">
        <is>
          <t>Ja</t>
        </is>
      </c>
      <c r="H21" s="24" t="inlineStr">
        <is>
          <t>Ja</t>
        </is>
      </c>
      <c r="I21" s="24" t="inlineStr">
        <is>
          <t>Fläche</t>
        </is>
      </c>
      <c r="J21" s="28" t="n"/>
    </row>
    <row r="22">
      <c r="B22" s="13" t="n">
        <v>17</v>
      </c>
      <c r="C22" s="13" t="inlineStr">
        <is>
          <t>Verwaltungskosten</t>
        </is>
      </c>
      <c r="D22" s="44" t="inlineStr">
        <is>
          <t>Ja</t>
        </is>
      </c>
      <c r="E22" s="24" t="inlineStr">
        <is>
          <t>Ja</t>
        </is>
      </c>
      <c r="F22" s="24" t="inlineStr">
        <is>
          <t>Ja</t>
        </is>
      </c>
      <c r="G22" s="24" t="inlineStr">
        <is>
          <t>Ja</t>
        </is>
      </c>
      <c r="H22" s="24" t="inlineStr">
        <is>
          <t>Ja</t>
        </is>
      </c>
      <c r="I22" s="24" t="inlineStr">
        <is>
          <t>Fläche</t>
        </is>
      </c>
      <c r="J22" s="28" t="n"/>
    </row>
    <row r="23">
      <c r="B23" s="13" t="n">
        <v>18</v>
      </c>
      <c r="C23" s="13" t="inlineStr">
        <is>
          <t>Werbegemeinschaft / Center-Umlage</t>
        </is>
      </c>
      <c r="D23" s="45" t="inlineStr">
        <is>
          <t>Nein</t>
        </is>
      </c>
      <c r="E23" s="24" t="inlineStr">
        <is>
          <t>Nein</t>
        </is>
      </c>
      <c r="F23" s="24" t="inlineStr">
        <is>
          <t>Nein</t>
        </is>
      </c>
      <c r="G23" s="24" t="inlineStr">
        <is>
          <t>Nein</t>
        </is>
      </c>
      <c r="H23" s="24" t="inlineStr">
        <is>
          <t>Nein</t>
        </is>
      </c>
      <c r="I23" s="24" t="inlineStr">
        <is>
          <t>Fläche</t>
        </is>
      </c>
      <c r="J23" s="28" t="n"/>
    </row>
    <row r="24">
      <c r="B24" s="13" t="n">
        <v>19</v>
      </c>
      <c r="C24" s="13" t="inlineStr">
        <is>
          <t>Instandhaltung pauschal</t>
        </is>
      </c>
      <c r="D24" s="45" t="inlineStr">
        <is>
          <t>Nein</t>
        </is>
      </c>
      <c r="E24" s="24" t="inlineStr">
        <is>
          <t>Nein</t>
        </is>
      </c>
      <c r="F24" s="24" t="inlineStr">
        <is>
          <t>Nein</t>
        </is>
      </c>
      <c r="G24" s="24" t="inlineStr">
        <is>
          <t>Nein</t>
        </is>
      </c>
      <c r="H24" s="24" t="inlineStr">
        <is>
          <t>Nein</t>
        </is>
      </c>
      <c r="I24" s="24" t="inlineStr">
        <is>
          <t>Fläche</t>
        </is>
      </c>
      <c r="J24" s="28" t="n"/>
    </row>
    <row r="25">
      <c r="B25" s="13" t="n">
        <v>20</v>
      </c>
      <c r="C25" s="13" t="inlineStr">
        <is>
          <t>Schornstein / Kehrgebühren</t>
        </is>
      </c>
      <c r="D25" s="44" t="inlineStr">
        <is>
          <t>Ja</t>
        </is>
      </c>
      <c r="E25" s="24" t="inlineStr">
        <is>
          <t>Ja</t>
        </is>
      </c>
      <c r="F25" s="24" t="inlineStr">
        <is>
          <t>Ja</t>
        </is>
      </c>
      <c r="G25" s="24" t="inlineStr">
        <is>
          <t>Ja</t>
        </is>
      </c>
      <c r="H25" s="24" t="inlineStr">
        <is>
          <t>Ja</t>
        </is>
      </c>
      <c r="I25" s="24" t="inlineStr">
        <is>
          <t>Fläche</t>
        </is>
      </c>
      <c r="J25" s="28" t="n"/>
    </row>
    <row r="26">
      <c r="B26" s="13" t="n">
        <v>21</v>
      </c>
      <c r="C26" s="13" t="inlineStr">
        <is>
          <t>WEG-Hausgeld umlagefähiger Anteil</t>
        </is>
      </c>
      <c r="D26" s="44" t="inlineStr">
        <is>
          <t>Ja</t>
        </is>
      </c>
      <c r="E26" s="24" t="inlineStr">
        <is>
          <t>Ja</t>
        </is>
      </c>
      <c r="F26" s="24" t="inlineStr">
        <is>
          <t>Ja</t>
        </is>
      </c>
      <c r="G26" s="24" t="inlineStr">
        <is>
          <t>Ja</t>
        </is>
      </c>
      <c r="H26" s="24" t="inlineStr">
        <is>
          <t>Ja</t>
        </is>
      </c>
      <c r="I26" s="24" t="inlineStr">
        <is>
          <t>Fläche</t>
        </is>
      </c>
      <c r="J26" s="28" t="n"/>
    </row>
    <row r="27">
      <c r="B27" s="13" t="n">
        <v>22</v>
      </c>
      <c r="C27" s="13" t="inlineStr">
        <is>
          <t>Leerstandsanteil</t>
        </is>
      </c>
      <c r="D27" s="45" t="inlineStr">
        <is>
          <t>Nein</t>
        </is>
      </c>
      <c r="E27" s="24" t="inlineStr">
        <is>
          <t>Nein</t>
        </is>
      </c>
      <c r="F27" s="24" t="inlineStr">
        <is>
          <t>Nein</t>
        </is>
      </c>
      <c r="G27" s="24" t="inlineStr">
        <is>
          <t>Nein</t>
        </is>
      </c>
      <c r="H27" s="24" t="inlineStr">
        <is>
          <t>Nein</t>
        </is>
      </c>
      <c r="I27" s="24" t="inlineStr">
        <is>
          <t>Fläche</t>
        </is>
      </c>
      <c r="J27" s="28" t="n"/>
    </row>
    <row r="28">
      <c r="B28" s="13" t="n">
        <v>23</v>
      </c>
      <c r="C28" s="13" t="inlineStr">
        <is>
          <t>Finanzierung / Zinsen / AfA</t>
        </is>
      </c>
      <c r="D28" s="45" t="inlineStr">
        <is>
          <t>Nein</t>
        </is>
      </c>
      <c r="E28" s="24" t="inlineStr">
        <is>
          <t>Nein</t>
        </is>
      </c>
      <c r="F28" s="24" t="inlineStr">
        <is>
          <t>Nein</t>
        </is>
      </c>
      <c r="G28" s="24" t="inlineStr">
        <is>
          <t>Nein</t>
        </is>
      </c>
      <c r="H28" s="24" t="inlineStr">
        <is>
          <t>Nein</t>
        </is>
      </c>
      <c r="I28" s="24" t="inlineStr">
        <is>
          <t>Fläche</t>
        </is>
      </c>
      <c r="J28" s="28" t="n"/>
    </row>
  </sheetData>
  <conditionalFormatting sqref="D6:H40">
    <cfRule type="expression" priority="1" dxfId="0">
      <formula>D6="Ja"</formula>
    </cfRule>
    <cfRule type="expression" priority="2" dxfId="1">
      <formula>D6="Nein"</formula>
    </cfRule>
  </conditionalFormatting>
  <dataValidations count="2">
    <dataValidation sqref="D6:H40" showDropDown="0" showInputMessage="0" showErrorMessage="0" allowBlank="1" type="list">
      <formula1>"Ja,Nein"</formula1>
    </dataValidation>
    <dataValidation sqref="I6:I40" showDropDown="0" showInputMessage="0" showErrorMessage="0" allowBlank="1" type="list">
      <formula1>"Fläche,Verbrauch,Nutzerzahl,Mischschlüssel"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Q31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30" customWidth="1" min="3" max="3"/>
    <col width="11" customWidth="1" min="4" max="4"/>
    <col width="14" customWidth="1" min="5" max="5"/>
    <col width="12" customWidth="1" min="6" max="6"/>
    <col width="14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  <col width="13" customWidth="1" min="14" max="14"/>
    <col width="13" customWidth="1" min="15" max="15"/>
    <col width="13" customWidth="1" min="16" max="16"/>
    <col width="18" customWidth="1" min="17" max="17"/>
  </cols>
  <sheetData>
    <row r="2">
      <c r="B2" s="1" t="inlineStr">
        <is>
          <t>Kostenarten – Objektkosten und Aufteilung auf 4 Mieter</t>
        </is>
      </c>
    </row>
    <row r="3">
      <c r="B3" s="2" t="inlineStr">
        <is>
          <t>Gesamtkosten netto erfassen. Bei Schlüssel Fläche: Anteile aus Mieterblatt. Bei Verbrauch: Anteile manuell (Summe ≈ 100 %).</t>
        </is>
      </c>
    </row>
    <row r="5" ht="36" customHeight="1">
      <c r="B5" s="11" t="inlineStr">
        <is>
          <t>Nr</t>
        </is>
      </c>
      <c r="C5" s="11" t="inlineStr">
        <is>
          <t>Kostenart</t>
        </is>
      </c>
      <c r="D5" s="11" t="inlineStr">
        <is>
          <t>Umlagefähig?</t>
        </is>
      </c>
      <c r="E5" s="11" t="inlineStr">
        <is>
          <t>Gesamt netto €</t>
        </is>
      </c>
      <c r="F5" s="11" t="inlineStr">
        <is>
          <t>nicht umlagef. €</t>
        </is>
      </c>
      <c r="G5" s="11" t="inlineStr">
        <is>
          <t>Umlagefähig €</t>
        </is>
      </c>
      <c r="H5" s="11" t="inlineStr">
        <is>
          <t>Schlüssel</t>
        </is>
      </c>
      <c r="I5" s="40" t="inlineStr">
        <is>
          <t>Anteil M1</t>
        </is>
      </c>
      <c r="J5" s="41" t="inlineStr">
        <is>
          <t>Anteil M2</t>
        </is>
      </c>
      <c r="K5" s="42" t="inlineStr">
        <is>
          <t>Anteil M3</t>
        </is>
      </c>
      <c r="L5" s="43" t="inlineStr">
        <is>
          <t>Anteil M4</t>
        </is>
      </c>
      <c r="M5" s="40" t="inlineStr">
        <is>
          <t>Betrag M1 €</t>
        </is>
      </c>
      <c r="N5" s="41" t="inlineStr">
        <is>
          <t>Betrag M2 €</t>
        </is>
      </c>
      <c r="O5" s="42" t="inlineStr">
        <is>
          <t>Betrag M3 €</t>
        </is>
      </c>
      <c r="P5" s="43" t="inlineStr">
        <is>
          <t>Betrag M4 €</t>
        </is>
      </c>
      <c r="Q5" s="11" t="inlineStr">
        <is>
          <t>Beleg</t>
        </is>
      </c>
    </row>
    <row r="6">
      <c r="B6" s="13" t="n">
        <v>1</v>
      </c>
      <c r="C6" s="13" t="inlineStr">
        <is>
          <t>Grundsteuer</t>
        </is>
      </c>
      <c r="D6" s="44" t="inlineStr">
        <is>
          <t>Ja</t>
        </is>
      </c>
      <c r="E6" s="58" t="n">
        <v>9600</v>
      </c>
      <c r="F6" s="58" t="n">
        <v>0</v>
      </c>
      <c r="G6" s="56">
        <f>IF(D6="Ja",MAX(0,E6-F6),0)</f>
        <v/>
      </c>
      <c r="H6" s="24" t="inlineStr">
        <is>
          <t>Fläche</t>
        </is>
      </c>
      <c r="I6" s="35">
        <f>IF(H6="Fläche",Mieter!F6,0)</f>
        <v/>
      </c>
      <c r="J6" s="35">
        <f>IF(H6="Fläche",Mieter!F7,0)</f>
        <v/>
      </c>
      <c r="K6" s="35">
        <f>IF(H6="Fläche",Mieter!F8,0)</f>
        <v/>
      </c>
      <c r="L6" s="35">
        <f>IF(H6="Fläche",Mieter!F9,0)</f>
        <v/>
      </c>
      <c r="M6" s="56">
        <f>IF('Vertrags-Matrix'!E6="Ja",G6*I6,0)</f>
        <v/>
      </c>
      <c r="N6" s="56">
        <f>IF('Vertrags-Matrix'!F6="Ja",G6*J6,0)</f>
        <v/>
      </c>
      <c r="O6" s="56">
        <f>IF('Vertrags-Matrix'!G6="Ja",G6*K6,0)</f>
        <v/>
      </c>
      <c r="P6" s="56">
        <f>IF('Vertrags-Matrix'!H6="Ja",G6*L6,0)</f>
        <v/>
      </c>
      <c r="Q6" s="28" t="n"/>
    </row>
    <row r="7">
      <c r="B7" s="13" t="n">
        <v>2</v>
      </c>
      <c r="C7" s="13" t="inlineStr">
        <is>
          <t>Wasser / Abwasser</t>
        </is>
      </c>
      <c r="D7" s="44" t="inlineStr">
        <is>
          <t>Ja</t>
        </is>
      </c>
      <c r="E7" s="58" t="n">
        <v>6400</v>
      </c>
      <c r="F7" s="58" t="n">
        <v>0</v>
      </c>
      <c r="G7" s="56">
        <f>IF(D7="Ja",MAX(0,E7-F7),0)</f>
        <v/>
      </c>
      <c r="H7" s="24" t="inlineStr">
        <is>
          <t>Verbrauch</t>
        </is>
      </c>
      <c r="I7" s="30" t="n">
        <v>0.2</v>
      </c>
      <c r="J7" s="30" t="n">
        <v>0.15</v>
      </c>
      <c r="K7" s="30" t="n">
        <v>0.4</v>
      </c>
      <c r="L7" s="30" t="n">
        <v>0.25</v>
      </c>
      <c r="M7" s="56">
        <f>IF('Vertrags-Matrix'!E7="Ja",G7*I7,0)</f>
        <v/>
      </c>
      <c r="N7" s="56">
        <f>IF('Vertrags-Matrix'!F7="Ja",G7*J7,0)</f>
        <v/>
      </c>
      <c r="O7" s="56">
        <f>IF('Vertrags-Matrix'!G7="Ja",G7*K7,0)</f>
        <v/>
      </c>
      <c r="P7" s="56">
        <f>IF('Vertrags-Matrix'!H7="Ja",G7*L7,0)</f>
        <v/>
      </c>
      <c r="Q7" s="28" t="n"/>
    </row>
    <row r="8">
      <c r="B8" s="13" t="n">
        <v>3</v>
      </c>
      <c r="C8" s="13" t="inlineStr">
        <is>
          <t>Heizung / Warmwasser</t>
        </is>
      </c>
      <c r="D8" s="44" t="inlineStr">
        <is>
          <t>Ja</t>
        </is>
      </c>
      <c r="E8" s="58" t="n">
        <v>28000</v>
      </c>
      <c r="F8" s="58" t="n">
        <v>0</v>
      </c>
      <c r="G8" s="56">
        <f>IF(D8="Ja",MAX(0,E8-F8),0)</f>
        <v/>
      </c>
      <c r="H8" s="24" t="inlineStr">
        <is>
          <t>Verbrauch</t>
        </is>
      </c>
      <c r="I8" s="30" t="n">
        <v>0.22</v>
      </c>
      <c r="J8" s="30" t="n">
        <v>0.18</v>
      </c>
      <c r="K8" s="30" t="n">
        <v>0.35</v>
      </c>
      <c r="L8" s="30" t="n">
        <v>0.25</v>
      </c>
      <c r="M8" s="56">
        <f>IF('Vertrags-Matrix'!E8="Ja",G8*I8,0)</f>
        <v/>
      </c>
      <c r="N8" s="56">
        <f>IF('Vertrags-Matrix'!F8="Ja",G8*J8,0)</f>
        <v/>
      </c>
      <c r="O8" s="56">
        <f>IF('Vertrags-Matrix'!G8="Ja",G8*K8,0)</f>
        <v/>
      </c>
      <c r="P8" s="56">
        <f>IF('Vertrags-Matrix'!H8="Ja",G8*L8,0)</f>
        <v/>
      </c>
      <c r="Q8" s="28" t="n"/>
    </row>
    <row r="9">
      <c r="B9" s="13" t="n">
        <v>4</v>
      </c>
      <c r="C9" s="13" t="inlineStr">
        <is>
          <t>Straßenreinigung / Müll</t>
        </is>
      </c>
      <c r="D9" s="44" t="inlineStr">
        <is>
          <t>Ja</t>
        </is>
      </c>
      <c r="E9" s="58" t="n">
        <v>4200</v>
      </c>
      <c r="F9" s="58" t="n">
        <v>0</v>
      </c>
      <c r="G9" s="56">
        <f>IF(D9="Ja",MAX(0,E9-F9),0)</f>
        <v/>
      </c>
      <c r="H9" s="24" t="inlineStr">
        <is>
          <t>Fläche</t>
        </is>
      </c>
      <c r="I9" s="35">
        <f>IF(H9="Fläche",Mieter!F6,0)</f>
        <v/>
      </c>
      <c r="J9" s="35">
        <f>IF(H9="Fläche",Mieter!F7,0)</f>
        <v/>
      </c>
      <c r="K9" s="35">
        <f>IF(H9="Fläche",Mieter!F8,0)</f>
        <v/>
      </c>
      <c r="L9" s="35">
        <f>IF(H9="Fläche",Mieter!F9,0)</f>
        <v/>
      </c>
      <c r="M9" s="56">
        <f>IF('Vertrags-Matrix'!E9="Ja",G9*I9,0)</f>
        <v/>
      </c>
      <c r="N9" s="56">
        <f>IF('Vertrags-Matrix'!F9="Ja",G9*J9,0)</f>
        <v/>
      </c>
      <c r="O9" s="56">
        <f>IF('Vertrags-Matrix'!G9="Ja",G9*K9,0)</f>
        <v/>
      </c>
      <c r="P9" s="56">
        <f>IF('Vertrags-Matrix'!H9="Ja",G9*L9,0)</f>
        <v/>
      </c>
      <c r="Q9" s="28" t="n"/>
    </row>
    <row r="10">
      <c r="B10" s="13" t="n">
        <v>5</v>
      </c>
      <c r="C10" s="13" t="inlineStr">
        <is>
          <t>Gebäudeversicherung</t>
        </is>
      </c>
      <c r="D10" s="44" t="inlineStr">
        <is>
          <t>Ja</t>
        </is>
      </c>
      <c r="E10" s="58" t="n">
        <v>7200</v>
      </c>
      <c r="F10" s="58" t="n">
        <v>0</v>
      </c>
      <c r="G10" s="56">
        <f>IF(D10="Ja",MAX(0,E10-F10),0)</f>
        <v/>
      </c>
      <c r="H10" s="24" t="inlineStr">
        <is>
          <t>Fläche</t>
        </is>
      </c>
      <c r="I10" s="35">
        <f>IF(H10="Fläche",Mieter!F6,0)</f>
        <v/>
      </c>
      <c r="J10" s="35">
        <f>IF(H10="Fläche",Mieter!F7,0)</f>
        <v/>
      </c>
      <c r="K10" s="35">
        <f>IF(H10="Fläche",Mieter!F8,0)</f>
        <v/>
      </c>
      <c r="L10" s="35">
        <f>IF(H10="Fläche",Mieter!F9,0)</f>
        <v/>
      </c>
      <c r="M10" s="56">
        <f>IF('Vertrags-Matrix'!E10="Ja",G10*I10,0)</f>
        <v/>
      </c>
      <c r="N10" s="56">
        <f>IF('Vertrags-Matrix'!F10="Ja",G10*J10,0)</f>
        <v/>
      </c>
      <c r="O10" s="56">
        <f>IF('Vertrags-Matrix'!G10="Ja",G10*K10,0)</f>
        <v/>
      </c>
      <c r="P10" s="56">
        <f>IF('Vertrags-Matrix'!H10="Ja",G10*L10,0)</f>
        <v/>
      </c>
      <c r="Q10" s="28" t="n"/>
    </row>
    <row r="11">
      <c r="B11" s="13" t="n">
        <v>6</v>
      </c>
      <c r="C11" s="13" t="inlineStr">
        <is>
          <t>Haftpflicht Gebäude</t>
        </is>
      </c>
      <c r="D11" s="44" t="inlineStr">
        <is>
          <t>Ja</t>
        </is>
      </c>
      <c r="E11" s="58" t="n">
        <v>1800</v>
      </c>
      <c r="F11" s="58" t="n">
        <v>0</v>
      </c>
      <c r="G11" s="56">
        <f>IF(D11="Ja",MAX(0,E11-F11),0)</f>
        <v/>
      </c>
      <c r="H11" s="24" t="inlineStr">
        <is>
          <t>Fläche</t>
        </is>
      </c>
      <c r="I11" s="35">
        <f>IF(H11="Fläche",Mieter!F6,0)</f>
        <v/>
      </c>
      <c r="J11" s="35">
        <f>IF(H11="Fläche",Mieter!F7,0)</f>
        <v/>
      </c>
      <c r="K11" s="35">
        <f>IF(H11="Fläche",Mieter!F8,0)</f>
        <v/>
      </c>
      <c r="L11" s="35">
        <f>IF(H11="Fläche",Mieter!F9,0)</f>
        <v/>
      </c>
      <c r="M11" s="56">
        <f>IF('Vertrags-Matrix'!E11="Ja",G11*I11,0)</f>
        <v/>
      </c>
      <c r="N11" s="56">
        <f>IF('Vertrags-Matrix'!F11="Ja",G11*J11,0)</f>
        <v/>
      </c>
      <c r="O11" s="56">
        <f>IF('Vertrags-Matrix'!G11="Ja",G11*K11,0)</f>
        <v/>
      </c>
      <c r="P11" s="56">
        <f>IF('Vertrags-Matrix'!H11="Ja",G11*L11,0)</f>
        <v/>
      </c>
      <c r="Q11" s="28" t="n"/>
    </row>
    <row r="12">
      <c r="B12" s="13" t="n">
        <v>7</v>
      </c>
      <c r="C12" s="13" t="inlineStr">
        <is>
          <t>Hausmeister / Facility</t>
        </is>
      </c>
      <c r="D12" s="44" t="inlineStr">
        <is>
          <t>Ja</t>
        </is>
      </c>
      <c r="E12" s="58" t="n">
        <v>16800</v>
      </c>
      <c r="F12" s="58" t="n">
        <v>0</v>
      </c>
      <c r="G12" s="56">
        <f>IF(D12="Ja",MAX(0,E12-F12),0)</f>
        <v/>
      </c>
      <c r="H12" s="24" t="inlineStr">
        <is>
          <t>Fläche</t>
        </is>
      </c>
      <c r="I12" s="35">
        <f>IF(H12="Fläche",Mieter!F6,0)</f>
        <v/>
      </c>
      <c r="J12" s="35">
        <f>IF(H12="Fläche",Mieter!F7,0)</f>
        <v/>
      </c>
      <c r="K12" s="35">
        <f>IF(H12="Fläche",Mieter!F8,0)</f>
        <v/>
      </c>
      <c r="L12" s="35">
        <f>IF(H12="Fläche",Mieter!F9,0)</f>
        <v/>
      </c>
      <c r="M12" s="56">
        <f>IF('Vertrags-Matrix'!E12="Ja",G12*I12,0)</f>
        <v/>
      </c>
      <c r="N12" s="56">
        <f>IF('Vertrags-Matrix'!F12="Ja",G12*J12,0)</f>
        <v/>
      </c>
      <c r="O12" s="56">
        <f>IF('Vertrags-Matrix'!G12="Ja",G12*K12,0)</f>
        <v/>
      </c>
      <c r="P12" s="56">
        <f>IF('Vertrags-Matrix'!H12="Ja",G12*L12,0)</f>
        <v/>
      </c>
      <c r="Q12" s="28" t="n"/>
    </row>
    <row r="13">
      <c r="B13" s="13" t="n">
        <v>8</v>
      </c>
      <c r="C13" s="13" t="inlineStr">
        <is>
          <t>Gartenpflege / Außenanlagen</t>
        </is>
      </c>
      <c r="D13" s="44" t="inlineStr">
        <is>
          <t>Ja</t>
        </is>
      </c>
      <c r="E13" s="58" t="n">
        <v>3600</v>
      </c>
      <c r="F13" s="58" t="n">
        <v>0</v>
      </c>
      <c r="G13" s="56">
        <f>IF(D13="Ja",MAX(0,E13-F13),0)</f>
        <v/>
      </c>
      <c r="H13" s="24" t="inlineStr">
        <is>
          <t>Fläche</t>
        </is>
      </c>
      <c r="I13" s="35">
        <f>IF(H13="Fläche",Mieter!F6,0)</f>
        <v/>
      </c>
      <c r="J13" s="35">
        <f>IF(H13="Fläche",Mieter!F7,0)</f>
        <v/>
      </c>
      <c r="K13" s="35">
        <f>IF(H13="Fläche",Mieter!F8,0)</f>
        <v/>
      </c>
      <c r="L13" s="35">
        <f>IF(H13="Fläche",Mieter!F9,0)</f>
        <v/>
      </c>
      <c r="M13" s="56">
        <f>IF('Vertrags-Matrix'!E13="Ja",G13*I13,0)</f>
        <v/>
      </c>
      <c r="N13" s="56">
        <f>IF('Vertrags-Matrix'!F13="Ja",G13*J13,0)</f>
        <v/>
      </c>
      <c r="O13" s="56">
        <f>IF('Vertrags-Matrix'!G13="Ja",G13*K13,0)</f>
        <v/>
      </c>
      <c r="P13" s="56">
        <f>IF('Vertrags-Matrix'!H13="Ja",G13*L13,0)</f>
        <v/>
      </c>
      <c r="Q13" s="28" t="n"/>
    </row>
    <row r="14">
      <c r="B14" s="13" t="n">
        <v>9</v>
      </c>
      <c r="C14" s="13" t="inlineStr">
        <is>
          <t>Aufzug Wartung</t>
        </is>
      </c>
      <c r="D14" s="44" t="inlineStr">
        <is>
          <t>Ja</t>
        </is>
      </c>
      <c r="E14" s="58" t="n">
        <v>4800</v>
      </c>
      <c r="F14" s="58" t="n">
        <v>0</v>
      </c>
      <c r="G14" s="56">
        <f>IF(D14="Ja",MAX(0,E14-F14),0)</f>
        <v/>
      </c>
      <c r="H14" s="24" t="inlineStr">
        <is>
          <t>Fläche</t>
        </is>
      </c>
      <c r="I14" s="35">
        <f>IF(H14="Fläche",Mieter!F6,0)</f>
        <v/>
      </c>
      <c r="J14" s="35">
        <f>IF(H14="Fläche",Mieter!F7,0)</f>
        <v/>
      </c>
      <c r="K14" s="35">
        <f>IF(H14="Fläche",Mieter!F8,0)</f>
        <v/>
      </c>
      <c r="L14" s="35">
        <f>IF(H14="Fläche",Mieter!F9,0)</f>
        <v/>
      </c>
      <c r="M14" s="56">
        <f>IF('Vertrags-Matrix'!E14="Ja",G14*I14,0)</f>
        <v/>
      </c>
      <c r="N14" s="56">
        <f>IF('Vertrags-Matrix'!F14="Ja",G14*J14,0)</f>
        <v/>
      </c>
      <c r="O14" s="56">
        <f>IF('Vertrags-Matrix'!G14="Ja",G14*K14,0)</f>
        <v/>
      </c>
      <c r="P14" s="56">
        <f>IF('Vertrags-Matrix'!H14="Ja",G14*L14,0)</f>
        <v/>
      </c>
      <c r="Q14" s="28" t="n"/>
    </row>
    <row r="15">
      <c r="B15" s="13" t="n">
        <v>10</v>
      </c>
      <c r="C15" s="13" t="inlineStr">
        <is>
          <t>Aufzug Instandsetzung</t>
        </is>
      </c>
      <c r="D15" s="45" t="inlineStr">
        <is>
          <t>Nein</t>
        </is>
      </c>
      <c r="E15" s="58" t="n">
        <v>0</v>
      </c>
      <c r="F15" s="58" t="n">
        <v>0</v>
      </c>
      <c r="G15" s="56">
        <f>IF(D15="Ja",MAX(0,E15-F15),0)</f>
        <v/>
      </c>
      <c r="H15" s="24" t="inlineStr">
        <is>
          <t>Fläche</t>
        </is>
      </c>
      <c r="I15" s="35" t="n">
        <v>0</v>
      </c>
      <c r="J15" s="35" t="n">
        <v>0</v>
      </c>
      <c r="K15" s="35" t="n">
        <v>0</v>
      </c>
      <c r="L15" s="35" t="n">
        <v>0</v>
      </c>
      <c r="M15" s="56">
        <f>IF('Vertrags-Matrix'!E15="Ja",G15*I15,0)</f>
        <v/>
      </c>
      <c r="N15" s="56">
        <f>IF('Vertrags-Matrix'!F15="Ja",G15*J15,0)</f>
        <v/>
      </c>
      <c r="O15" s="56">
        <f>IF('Vertrags-Matrix'!G15="Ja",G15*K15,0)</f>
        <v/>
      </c>
      <c r="P15" s="56">
        <f>IF('Vertrags-Matrix'!H15="Ja",G15*L15,0)</f>
        <v/>
      </c>
      <c r="Q15" s="28" t="n"/>
    </row>
    <row r="16">
      <c r="B16" s="13" t="n">
        <v>11</v>
      </c>
      <c r="C16" s="13" t="inlineStr">
        <is>
          <t>Klima- / Lüftungsanlage Wartung</t>
        </is>
      </c>
      <c r="D16" s="44" t="inlineStr">
        <is>
          <t>Ja</t>
        </is>
      </c>
      <c r="E16" s="58" t="n">
        <v>6200</v>
      </c>
      <c r="F16" s="58" t="n">
        <v>0</v>
      </c>
      <c r="G16" s="56">
        <f>IF(D16="Ja",MAX(0,E16-F16),0)</f>
        <v/>
      </c>
      <c r="H16" s="24" t="inlineStr">
        <is>
          <t>Fläche</t>
        </is>
      </c>
      <c r="I16" s="35">
        <f>IF(H16="Fläche",Mieter!F6,0)</f>
        <v/>
      </c>
      <c r="J16" s="35">
        <f>IF(H16="Fläche",Mieter!F7,0)</f>
        <v/>
      </c>
      <c r="K16" s="35">
        <f>IF(H16="Fläche",Mieter!F8,0)</f>
        <v/>
      </c>
      <c r="L16" s="35">
        <f>IF(H16="Fläche",Mieter!F9,0)</f>
        <v/>
      </c>
      <c r="M16" s="56">
        <f>IF('Vertrags-Matrix'!E16="Ja",G16*I16,0)</f>
        <v/>
      </c>
      <c r="N16" s="56">
        <f>IF('Vertrags-Matrix'!F16="Ja",G16*J16,0)</f>
        <v/>
      </c>
      <c r="O16" s="56">
        <f>IF('Vertrags-Matrix'!G16="Ja",G16*K16,0)</f>
        <v/>
      </c>
      <c r="P16" s="56">
        <f>IF('Vertrags-Matrix'!H16="Ja",G16*L16,0)</f>
        <v/>
      </c>
      <c r="Q16" s="28" t="n"/>
    </row>
    <row r="17">
      <c r="B17" s="13" t="n">
        <v>12</v>
      </c>
      <c r="C17" s="13" t="inlineStr">
        <is>
          <t>Brandschutz / Sicherheitstechnik</t>
        </is>
      </c>
      <c r="D17" s="44" t="inlineStr">
        <is>
          <t>Ja</t>
        </is>
      </c>
      <c r="E17" s="58" t="n">
        <v>3000</v>
      </c>
      <c r="F17" s="58" t="n">
        <v>0</v>
      </c>
      <c r="G17" s="56">
        <f>IF(D17="Ja",MAX(0,E17-F17),0)</f>
        <v/>
      </c>
      <c r="H17" s="24" t="inlineStr">
        <is>
          <t>Fläche</t>
        </is>
      </c>
      <c r="I17" s="35">
        <f>IF(H17="Fläche",Mieter!F6,0)</f>
        <v/>
      </c>
      <c r="J17" s="35">
        <f>IF(H17="Fläche",Mieter!F7,0)</f>
        <v/>
      </c>
      <c r="K17" s="35">
        <f>IF(H17="Fläche",Mieter!F8,0)</f>
        <v/>
      </c>
      <c r="L17" s="35">
        <f>IF(H17="Fläche",Mieter!F9,0)</f>
        <v/>
      </c>
      <c r="M17" s="56">
        <f>IF('Vertrags-Matrix'!E17="Ja",G17*I17,0)</f>
        <v/>
      </c>
      <c r="N17" s="56">
        <f>IF('Vertrags-Matrix'!F17="Ja",G17*J17,0)</f>
        <v/>
      </c>
      <c r="O17" s="56">
        <f>IF('Vertrags-Matrix'!G17="Ja",G17*K17,0)</f>
        <v/>
      </c>
      <c r="P17" s="56">
        <f>IF('Vertrags-Matrix'!H17="Ja",G17*L17,0)</f>
        <v/>
      </c>
      <c r="Q17" s="28" t="n"/>
    </row>
    <row r="18">
      <c r="B18" s="13" t="n">
        <v>13</v>
      </c>
      <c r="C18" s="13" t="inlineStr">
        <is>
          <t>Sicherheit / Bewachung</t>
        </is>
      </c>
      <c r="D18" s="44" t="inlineStr">
        <is>
          <t>Ja</t>
        </is>
      </c>
      <c r="E18" s="58" t="n">
        <v>12000</v>
      </c>
      <c r="F18" s="58" t="n">
        <v>0</v>
      </c>
      <c r="G18" s="56">
        <f>IF(D18="Ja",MAX(0,E18-F18),0)</f>
        <v/>
      </c>
      <c r="H18" s="24" t="inlineStr">
        <is>
          <t>Fläche</t>
        </is>
      </c>
      <c r="I18" s="35">
        <f>IF(H18="Fläche",Mieter!F6,0)</f>
        <v/>
      </c>
      <c r="J18" s="35">
        <f>IF(H18="Fläche",Mieter!F7,0)</f>
        <v/>
      </c>
      <c r="K18" s="35">
        <f>IF(H18="Fläche",Mieter!F8,0)</f>
        <v/>
      </c>
      <c r="L18" s="35">
        <f>IF(H18="Fläche",Mieter!F9,0)</f>
        <v/>
      </c>
      <c r="M18" s="56">
        <f>IF('Vertrags-Matrix'!E18="Ja",G18*I18,0)</f>
        <v/>
      </c>
      <c r="N18" s="56">
        <f>IF('Vertrags-Matrix'!F18="Ja",G18*J18,0)</f>
        <v/>
      </c>
      <c r="O18" s="56">
        <f>IF('Vertrags-Matrix'!G18="Ja",G18*K18,0)</f>
        <v/>
      </c>
      <c r="P18" s="56">
        <f>IF('Vertrags-Matrix'!H18="Ja",G18*L18,0)</f>
        <v/>
      </c>
      <c r="Q18" s="28" t="n"/>
    </row>
    <row r="19">
      <c r="B19" s="13" t="n">
        <v>14</v>
      </c>
      <c r="C19" s="13" t="inlineStr">
        <is>
          <t>Reinigung Gemeinschaftsflächen</t>
        </is>
      </c>
      <c r="D19" s="44" t="inlineStr">
        <is>
          <t>Ja</t>
        </is>
      </c>
      <c r="E19" s="58" t="n">
        <v>9600</v>
      </c>
      <c r="F19" s="58" t="n">
        <v>0</v>
      </c>
      <c r="G19" s="56">
        <f>IF(D19="Ja",MAX(0,E19-F19),0)</f>
        <v/>
      </c>
      <c r="H19" s="24" t="inlineStr">
        <is>
          <t>Fläche</t>
        </is>
      </c>
      <c r="I19" s="35">
        <f>IF(H19="Fläche",Mieter!F6,0)</f>
        <v/>
      </c>
      <c r="J19" s="35">
        <f>IF(H19="Fläche",Mieter!F7,0)</f>
        <v/>
      </c>
      <c r="K19" s="35">
        <f>IF(H19="Fläche",Mieter!F8,0)</f>
        <v/>
      </c>
      <c r="L19" s="35">
        <f>IF(H19="Fläche",Mieter!F9,0)</f>
        <v/>
      </c>
      <c r="M19" s="56">
        <f>IF('Vertrags-Matrix'!E19="Ja",G19*I19,0)</f>
        <v/>
      </c>
      <c r="N19" s="56">
        <f>IF('Vertrags-Matrix'!F19="Ja",G19*J19,0)</f>
        <v/>
      </c>
      <c r="O19" s="56">
        <f>IF('Vertrags-Matrix'!G19="Ja",G19*K19,0)</f>
        <v/>
      </c>
      <c r="P19" s="56">
        <f>IF('Vertrags-Matrix'!H19="Ja",G19*L19,0)</f>
        <v/>
      </c>
      <c r="Q19" s="28" t="n"/>
    </row>
    <row r="20">
      <c r="B20" s="13" t="n">
        <v>15</v>
      </c>
      <c r="C20" s="13" t="inlineStr">
        <is>
          <t>Beleuchtung Allgemein</t>
        </is>
      </c>
      <c r="D20" s="44" t="inlineStr">
        <is>
          <t>Ja</t>
        </is>
      </c>
      <c r="E20" s="58" t="n">
        <v>4400</v>
      </c>
      <c r="F20" s="58" t="n">
        <v>0</v>
      </c>
      <c r="G20" s="56">
        <f>IF(D20="Ja",MAX(0,E20-F20),0)</f>
        <v/>
      </c>
      <c r="H20" s="24" t="inlineStr">
        <is>
          <t>Fläche</t>
        </is>
      </c>
      <c r="I20" s="35">
        <f>IF(H20="Fläche",Mieter!F6,0)</f>
        <v/>
      </c>
      <c r="J20" s="35">
        <f>IF(H20="Fläche",Mieter!F7,0)</f>
        <v/>
      </c>
      <c r="K20" s="35">
        <f>IF(H20="Fläche",Mieter!F8,0)</f>
        <v/>
      </c>
      <c r="L20" s="35">
        <f>IF(H20="Fläche",Mieter!F9,0)</f>
        <v/>
      </c>
      <c r="M20" s="56">
        <f>IF('Vertrags-Matrix'!E20="Ja",G20*I20,0)</f>
        <v/>
      </c>
      <c r="N20" s="56">
        <f>IF('Vertrags-Matrix'!F20="Ja",G20*J20,0)</f>
        <v/>
      </c>
      <c r="O20" s="56">
        <f>IF('Vertrags-Matrix'!G20="Ja",G20*K20,0)</f>
        <v/>
      </c>
      <c r="P20" s="56">
        <f>IF('Vertrags-Matrix'!H20="Ja",G20*L20,0)</f>
        <v/>
      </c>
      <c r="Q20" s="28" t="n"/>
    </row>
    <row r="21">
      <c r="B21" s="13" t="n">
        <v>16</v>
      </c>
      <c r="C21" s="13" t="inlineStr">
        <is>
          <t>Niederschlagswasser</t>
        </is>
      </c>
      <c r="D21" s="44" t="inlineStr">
        <is>
          <t>Ja</t>
        </is>
      </c>
      <c r="E21" s="58" t="n">
        <v>1400</v>
      </c>
      <c r="F21" s="58" t="n">
        <v>0</v>
      </c>
      <c r="G21" s="56">
        <f>IF(D21="Ja",MAX(0,E21-F21),0)</f>
        <v/>
      </c>
      <c r="H21" s="24" t="inlineStr">
        <is>
          <t>Fläche</t>
        </is>
      </c>
      <c r="I21" s="35">
        <f>IF(H21="Fläche",Mieter!F6,0)</f>
        <v/>
      </c>
      <c r="J21" s="35">
        <f>IF(H21="Fläche",Mieter!F7,0)</f>
        <v/>
      </c>
      <c r="K21" s="35">
        <f>IF(H21="Fläche",Mieter!F8,0)</f>
        <v/>
      </c>
      <c r="L21" s="35">
        <f>IF(H21="Fläche",Mieter!F9,0)</f>
        <v/>
      </c>
      <c r="M21" s="56">
        <f>IF('Vertrags-Matrix'!E21="Ja",G21*I21,0)</f>
        <v/>
      </c>
      <c r="N21" s="56">
        <f>IF('Vertrags-Matrix'!F21="Ja",G21*J21,0)</f>
        <v/>
      </c>
      <c r="O21" s="56">
        <f>IF('Vertrags-Matrix'!G21="Ja",G21*K21,0)</f>
        <v/>
      </c>
      <c r="P21" s="56">
        <f>IF('Vertrags-Matrix'!H21="Ja",G21*L21,0)</f>
        <v/>
      </c>
      <c r="Q21" s="28" t="n"/>
    </row>
    <row r="22">
      <c r="B22" s="13" t="n">
        <v>17</v>
      </c>
      <c r="C22" s="13" t="inlineStr">
        <is>
          <t>Verwaltungskosten</t>
        </is>
      </c>
      <c r="D22" s="44" t="inlineStr">
        <is>
          <t>Ja</t>
        </is>
      </c>
      <c r="E22" s="58" t="n">
        <v>8400</v>
      </c>
      <c r="F22" s="58" t="n">
        <v>0</v>
      </c>
      <c r="G22" s="56">
        <f>IF(D22="Ja",MAX(0,E22-F22),0)</f>
        <v/>
      </c>
      <c r="H22" s="24" t="inlineStr">
        <is>
          <t>Fläche</t>
        </is>
      </c>
      <c r="I22" s="35">
        <f>IF(H22="Fläche",Mieter!F6,0)</f>
        <v/>
      </c>
      <c r="J22" s="35">
        <f>IF(H22="Fläche",Mieter!F7,0)</f>
        <v/>
      </c>
      <c r="K22" s="35">
        <f>IF(H22="Fläche",Mieter!F8,0)</f>
        <v/>
      </c>
      <c r="L22" s="35">
        <f>IF(H22="Fläche",Mieter!F9,0)</f>
        <v/>
      </c>
      <c r="M22" s="56">
        <f>IF('Vertrags-Matrix'!E22="Ja",G22*I22,0)</f>
        <v/>
      </c>
      <c r="N22" s="56">
        <f>IF('Vertrags-Matrix'!F22="Ja",G22*J22,0)</f>
        <v/>
      </c>
      <c r="O22" s="56">
        <f>IF('Vertrags-Matrix'!G22="Ja",G22*K22,0)</f>
        <v/>
      </c>
      <c r="P22" s="56">
        <f>IF('Vertrags-Matrix'!H22="Ja",G22*L22,0)</f>
        <v/>
      </c>
      <c r="Q22" s="28" t="n"/>
    </row>
    <row r="23">
      <c r="B23" s="13" t="n">
        <v>18</v>
      </c>
      <c r="C23" s="13" t="inlineStr">
        <is>
          <t>Werbegemeinschaft / Center-Umlage</t>
        </is>
      </c>
      <c r="D23" s="45" t="inlineStr">
        <is>
          <t>Nein</t>
        </is>
      </c>
      <c r="E23" s="58" t="n">
        <v>0</v>
      </c>
      <c r="F23" s="58" t="n">
        <v>0</v>
      </c>
      <c r="G23" s="56">
        <f>IF(D23="Ja",MAX(0,E23-F23),0)</f>
        <v/>
      </c>
      <c r="H23" s="24" t="inlineStr">
        <is>
          <t>Fläche</t>
        </is>
      </c>
      <c r="I23" s="35" t="n">
        <v>0</v>
      </c>
      <c r="J23" s="35" t="n">
        <v>0</v>
      </c>
      <c r="K23" s="35" t="n">
        <v>0</v>
      </c>
      <c r="L23" s="35" t="n">
        <v>0</v>
      </c>
      <c r="M23" s="56">
        <f>IF('Vertrags-Matrix'!E23="Ja",G23*I23,0)</f>
        <v/>
      </c>
      <c r="N23" s="56">
        <f>IF('Vertrags-Matrix'!F23="Ja",G23*J23,0)</f>
        <v/>
      </c>
      <c r="O23" s="56">
        <f>IF('Vertrags-Matrix'!G23="Ja",G23*K23,0)</f>
        <v/>
      </c>
      <c r="P23" s="56">
        <f>IF('Vertrags-Matrix'!H23="Ja",G23*L23,0)</f>
        <v/>
      </c>
      <c r="Q23" s="28" t="n"/>
    </row>
    <row r="24">
      <c r="B24" s="13" t="n">
        <v>19</v>
      </c>
      <c r="C24" s="13" t="inlineStr">
        <is>
          <t>Instandhaltung pauschal</t>
        </is>
      </c>
      <c r="D24" s="45" t="inlineStr">
        <is>
          <t>Nein</t>
        </is>
      </c>
      <c r="E24" s="58" t="n">
        <v>0</v>
      </c>
      <c r="F24" s="58" t="n">
        <v>0</v>
      </c>
      <c r="G24" s="56">
        <f>IF(D24="Ja",MAX(0,E24-F24),0)</f>
        <v/>
      </c>
      <c r="H24" s="24" t="inlineStr">
        <is>
          <t>Fläche</t>
        </is>
      </c>
      <c r="I24" s="35" t="n">
        <v>0</v>
      </c>
      <c r="J24" s="35" t="n">
        <v>0</v>
      </c>
      <c r="K24" s="35" t="n">
        <v>0</v>
      </c>
      <c r="L24" s="35" t="n">
        <v>0</v>
      </c>
      <c r="M24" s="56">
        <f>IF('Vertrags-Matrix'!E24="Ja",G24*I24,0)</f>
        <v/>
      </c>
      <c r="N24" s="56">
        <f>IF('Vertrags-Matrix'!F24="Ja",G24*J24,0)</f>
        <v/>
      </c>
      <c r="O24" s="56">
        <f>IF('Vertrags-Matrix'!G24="Ja",G24*K24,0)</f>
        <v/>
      </c>
      <c r="P24" s="56">
        <f>IF('Vertrags-Matrix'!H24="Ja",G24*L24,0)</f>
        <v/>
      </c>
      <c r="Q24" s="28" t="n"/>
    </row>
    <row r="25">
      <c r="B25" s="13" t="n">
        <v>20</v>
      </c>
      <c r="C25" s="13" t="inlineStr">
        <is>
          <t>Schornstein / Kehrgebühren</t>
        </is>
      </c>
      <c r="D25" s="44" t="inlineStr">
        <is>
          <t>Ja</t>
        </is>
      </c>
      <c r="E25" s="58" t="n">
        <v>700</v>
      </c>
      <c r="F25" s="58" t="n">
        <v>0</v>
      </c>
      <c r="G25" s="56">
        <f>IF(D25="Ja",MAX(0,E25-F25),0)</f>
        <v/>
      </c>
      <c r="H25" s="24" t="inlineStr">
        <is>
          <t>Fläche</t>
        </is>
      </c>
      <c r="I25" s="35">
        <f>IF(H25="Fläche",Mieter!F6,0)</f>
        <v/>
      </c>
      <c r="J25" s="35">
        <f>IF(H25="Fläche",Mieter!F7,0)</f>
        <v/>
      </c>
      <c r="K25" s="35">
        <f>IF(H25="Fläche",Mieter!F8,0)</f>
        <v/>
      </c>
      <c r="L25" s="35">
        <f>IF(H25="Fläche",Mieter!F9,0)</f>
        <v/>
      </c>
      <c r="M25" s="56">
        <f>IF('Vertrags-Matrix'!E25="Ja",G25*I25,0)</f>
        <v/>
      </c>
      <c r="N25" s="56">
        <f>IF('Vertrags-Matrix'!F25="Ja",G25*J25,0)</f>
        <v/>
      </c>
      <c r="O25" s="56">
        <f>IF('Vertrags-Matrix'!G25="Ja",G25*K25,0)</f>
        <v/>
      </c>
      <c r="P25" s="56">
        <f>IF('Vertrags-Matrix'!H25="Ja",G25*L25,0)</f>
        <v/>
      </c>
      <c r="Q25" s="28" t="n"/>
    </row>
    <row r="26">
      <c r="B26" s="13" t="n">
        <v>21</v>
      </c>
      <c r="C26" s="13" t="inlineStr">
        <is>
          <t>WEG-Hausgeld umlagefähiger Anteil</t>
        </is>
      </c>
      <c r="D26" s="44" t="inlineStr">
        <is>
          <t>Ja</t>
        </is>
      </c>
      <c r="E26" s="58" t="n">
        <v>0</v>
      </c>
      <c r="F26" s="58" t="n">
        <v>0</v>
      </c>
      <c r="G26" s="56">
        <f>IF(D26="Ja",MAX(0,E26-F26),0)</f>
        <v/>
      </c>
      <c r="H26" s="24" t="inlineStr">
        <is>
          <t>Fläche</t>
        </is>
      </c>
      <c r="I26" s="35">
        <f>IF(H26="Fläche",Mieter!F6,0)</f>
        <v/>
      </c>
      <c r="J26" s="35">
        <f>IF(H26="Fläche",Mieter!F7,0)</f>
        <v/>
      </c>
      <c r="K26" s="35">
        <f>IF(H26="Fläche",Mieter!F8,0)</f>
        <v/>
      </c>
      <c r="L26" s="35">
        <f>IF(H26="Fläche",Mieter!F9,0)</f>
        <v/>
      </c>
      <c r="M26" s="56">
        <f>IF('Vertrags-Matrix'!E26="Ja",G26*I26,0)</f>
        <v/>
      </c>
      <c r="N26" s="56">
        <f>IF('Vertrags-Matrix'!F26="Ja",G26*J26,0)</f>
        <v/>
      </c>
      <c r="O26" s="56">
        <f>IF('Vertrags-Matrix'!G26="Ja",G26*K26,0)</f>
        <v/>
      </c>
      <c r="P26" s="56">
        <f>IF('Vertrags-Matrix'!H26="Ja",G26*L26,0)</f>
        <v/>
      </c>
      <c r="Q26" s="28" t="n"/>
    </row>
    <row r="27">
      <c r="B27" s="13" t="n">
        <v>22</v>
      </c>
      <c r="C27" s="13" t="inlineStr">
        <is>
          <t>Leerstandsanteil</t>
        </is>
      </c>
      <c r="D27" s="45" t="inlineStr">
        <is>
          <t>Nein</t>
        </is>
      </c>
      <c r="E27" s="58" t="n">
        <v>0</v>
      </c>
      <c r="F27" s="58" t="n">
        <v>0</v>
      </c>
      <c r="G27" s="56">
        <f>IF(D27="Ja",MAX(0,E27-F27),0)</f>
        <v/>
      </c>
      <c r="H27" s="24" t="inlineStr">
        <is>
          <t>Fläche</t>
        </is>
      </c>
      <c r="I27" s="35" t="n">
        <v>0</v>
      </c>
      <c r="J27" s="35" t="n">
        <v>0</v>
      </c>
      <c r="K27" s="35" t="n">
        <v>0</v>
      </c>
      <c r="L27" s="35" t="n">
        <v>0</v>
      </c>
      <c r="M27" s="56">
        <f>IF('Vertrags-Matrix'!E27="Ja",G27*I27,0)</f>
        <v/>
      </c>
      <c r="N27" s="56">
        <f>IF('Vertrags-Matrix'!F27="Ja",G27*J27,0)</f>
        <v/>
      </c>
      <c r="O27" s="56">
        <f>IF('Vertrags-Matrix'!G27="Ja",G27*K27,0)</f>
        <v/>
      </c>
      <c r="P27" s="56">
        <f>IF('Vertrags-Matrix'!H27="Ja",G27*L27,0)</f>
        <v/>
      </c>
      <c r="Q27" s="28" t="n"/>
    </row>
    <row r="28">
      <c r="B28" s="13" t="n">
        <v>23</v>
      </c>
      <c r="C28" s="13" t="inlineStr">
        <is>
          <t>Finanzierung / Zinsen / AfA</t>
        </is>
      </c>
      <c r="D28" s="45" t="inlineStr">
        <is>
          <t>Nein</t>
        </is>
      </c>
      <c r="E28" s="58" t="n">
        <v>0</v>
      </c>
      <c r="F28" s="58" t="n">
        <v>0</v>
      </c>
      <c r="G28" s="56">
        <f>IF(D28="Ja",MAX(0,E28-F28),0)</f>
        <v/>
      </c>
      <c r="H28" s="24" t="inlineStr">
        <is>
          <t>Fläche</t>
        </is>
      </c>
      <c r="I28" s="35" t="n">
        <v>0</v>
      </c>
      <c r="J28" s="35" t="n">
        <v>0</v>
      </c>
      <c r="K28" s="35" t="n">
        <v>0</v>
      </c>
      <c r="L28" s="35" t="n">
        <v>0</v>
      </c>
      <c r="M28" s="56">
        <f>IF('Vertrags-Matrix'!E28="Ja",G28*I28,0)</f>
        <v/>
      </c>
      <c r="N28" s="56">
        <f>IF('Vertrags-Matrix'!F28="Ja",G28*J28,0)</f>
        <v/>
      </c>
      <c r="O28" s="56">
        <f>IF('Vertrags-Matrix'!G28="Ja",G28*K28,0)</f>
        <v/>
      </c>
      <c r="P28" s="56">
        <f>IF('Vertrags-Matrix'!H28="Ja",G28*L28,0)</f>
        <v/>
      </c>
      <c r="Q28" s="28" t="n"/>
    </row>
    <row r="29">
      <c r="C29" s="21" t="inlineStr">
        <is>
          <t>SUMME</t>
        </is>
      </c>
      <c r="E29" s="57">
        <f>SUM(E6:E28)</f>
        <v/>
      </c>
      <c r="F29" s="57">
        <f>SUM(F6:F28)</f>
        <v/>
      </c>
      <c r="G29" s="57">
        <f>SUM(G6:G28)</f>
        <v/>
      </c>
      <c r="M29" s="57">
        <f>SUM(M6:M28)</f>
        <v/>
      </c>
      <c r="N29" s="57">
        <f>SUM(N6:N28)</f>
        <v/>
      </c>
      <c r="O29" s="57">
        <f>SUM(O6:O28)</f>
        <v/>
      </c>
      <c r="P29" s="57">
        <f>SUM(P6:P28)</f>
        <v/>
      </c>
    </row>
    <row r="30">
      <c r="C30" s="27" t="inlineStr">
        <is>
          <t>Kontrolle Anteile (bei Fläche ≈ 100 %)</t>
        </is>
      </c>
    </row>
    <row r="31">
      <c r="B31" s="2" t="inlineStr">
        <is>
          <t>Verbrauch manuell: Anteile M1–M4 überschreiben (z. B. 0,20 = 20 %). Fläche läuft über Mieterblatt. Vertrags-Matrix „Nein“ setzt Betrag des Mieters auf 0.</t>
        </is>
      </c>
    </row>
  </sheetData>
  <autoFilter ref="B5:Q35"/>
  <mergeCells count="1">
    <mergeCell ref="B31:Q31"/>
  </mergeCells>
  <conditionalFormatting sqref="D6:D40">
    <cfRule type="expression" priority="1" dxfId="0">
      <formula>D6="Ja"</formula>
    </cfRule>
    <cfRule type="expression" priority="2" dxfId="1">
      <formula>D6="Nein"</formula>
    </cfRule>
  </conditionalFormatting>
  <dataValidations count="2">
    <dataValidation sqref="D6:D40" showDropDown="0" showInputMessage="0" showErrorMessage="0" allowBlank="1" type="list">
      <formula1>"Ja,Nein"</formula1>
    </dataValidation>
    <dataValidation sqref="H6:H40" showDropDown="0" showInputMessage="0" showErrorMessage="0" allowBlank="1" type="list">
      <formula1>"Fläche,Verbrauch,Nutzerzahl,Mischschlüssel"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H50"/>
  <sheetViews>
    <sheetView showGridLines="0" workbookViewId="0">
      <pane xSplit="1" ySplit="14" topLeftCell="B1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4" customWidth="1" min="3" max="3"/>
    <col width="16" customWidth="1" min="4" max="4"/>
    <col width="12" customWidth="1" min="5" max="5"/>
    <col width="12" customWidth="1" min="6" max="6"/>
    <col width="16" customWidth="1" min="7" max="7"/>
    <col width="12" customWidth="1" min="8" max="8"/>
    <col width="14" customWidth="1" min="9" max="9"/>
  </cols>
  <sheetData>
    <row r="2">
      <c r="B2" s="46" t="inlineStr">
        <is>
          <t>Nebenkostenabrechnung Gewerbe – Mieter 1</t>
        </is>
      </c>
    </row>
    <row r="3">
      <c r="B3" s="2" t="inlineStr">
        <is>
          <t>Automatisch aus Objekt + Mieter + Kostenarten. Vor Versand prüfen.</t>
        </is>
      </c>
    </row>
    <row r="5">
      <c r="B5" s="27" t="inlineStr">
        <is>
          <t>Objekt</t>
        </is>
      </c>
      <c r="C5" s="31">
        <f>Objekt!C5</f>
        <v/>
      </c>
      <c r="D5" s="25" t="n"/>
      <c r="E5" s="26" t="n"/>
    </row>
    <row r="6">
      <c r="B6" s="27" t="inlineStr">
        <is>
          <t>Mieter</t>
        </is>
      </c>
      <c r="C6" s="31">
        <f>Mieter!C6</f>
        <v/>
      </c>
      <c r="D6" s="25" t="n"/>
      <c r="E6" s="26" t="n"/>
    </row>
    <row r="7">
      <c r="B7" s="27" t="inlineStr">
        <is>
          <t>Einheit</t>
        </is>
      </c>
      <c r="C7" s="31">
        <f>Mieter!D6</f>
        <v/>
      </c>
      <c r="D7" s="25" t="n"/>
      <c r="E7" s="26" t="n"/>
    </row>
    <row r="8">
      <c r="B8" s="27" t="inlineStr">
        <is>
          <t>Zeitraum von</t>
        </is>
      </c>
      <c r="C8" s="47">
        <f>Objekt!C7</f>
        <v/>
      </c>
    </row>
    <row r="9">
      <c r="B9" s="27" t="inlineStr">
        <is>
          <t>Zeitraum bis</t>
        </is>
      </c>
      <c r="C9" s="47">
        <f>Objekt!C8</f>
        <v/>
      </c>
    </row>
    <row r="10">
      <c r="B10" s="27" t="inlineStr">
        <is>
          <t>Fläche m²</t>
        </is>
      </c>
      <c r="C10" s="32">
        <f>Mieter!E6</f>
        <v/>
      </c>
    </row>
    <row r="11">
      <c r="B11" s="27" t="inlineStr">
        <is>
          <t>Flächenanteil</t>
        </is>
      </c>
      <c r="C11" s="35">
        <f>Mieter!F6</f>
        <v/>
      </c>
    </row>
    <row r="12">
      <c r="B12" s="27" t="inlineStr">
        <is>
          <t>USt-Option</t>
        </is>
      </c>
      <c r="C12" s="31">
        <f>Objekt!C9</f>
        <v/>
      </c>
    </row>
    <row r="14">
      <c r="B14" s="11" t="inlineStr">
        <is>
          <t>Nr</t>
        </is>
      </c>
      <c r="C14" s="11" t="inlineStr">
        <is>
          <t>Kostenart</t>
        </is>
      </c>
      <c r="D14" s="11" t="inlineStr">
        <is>
          <t>Anteil Mieter netto €</t>
        </is>
      </c>
      <c r="E14" s="11" t="inlineStr">
        <is>
          <t>Schlüssel</t>
        </is>
      </c>
      <c r="F14" s="11" t="inlineStr">
        <is>
          <t>Anteil %</t>
        </is>
      </c>
      <c r="G14" s="11" t="inlineStr">
        <is>
          <t>USt €</t>
        </is>
      </c>
      <c r="H14" s="11" t="inlineStr">
        <is>
          <t>Brutto €</t>
        </is>
      </c>
    </row>
    <row r="15">
      <c r="B15" s="13" t="n">
        <v>1</v>
      </c>
      <c r="C15" s="13">
        <f>Kostenarten!C6</f>
        <v/>
      </c>
      <c r="D15" s="56">
        <f>Kostenarten!M6</f>
        <v/>
      </c>
      <c r="E15" s="31">
        <f>Kostenarten!H6</f>
        <v/>
      </c>
      <c r="F15" s="35">
        <f>Kostenarten!I6</f>
        <v/>
      </c>
      <c r="G15" s="56">
        <f>IF(Objekt!$C$9="Ja",D15*Objekt!$C$10,0)</f>
        <v/>
      </c>
      <c r="H15" s="56">
        <f>D15+G15</f>
        <v/>
      </c>
    </row>
    <row r="16">
      <c r="B16" s="13" t="n">
        <v>2</v>
      </c>
      <c r="C16" s="13">
        <f>Kostenarten!C7</f>
        <v/>
      </c>
      <c r="D16" s="56">
        <f>Kostenarten!M7</f>
        <v/>
      </c>
      <c r="E16" s="31">
        <f>Kostenarten!H7</f>
        <v/>
      </c>
      <c r="F16" s="35">
        <f>Kostenarten!I7</f>
        <v/>
      </c>
      <c r="G16" s="56">
        <f>IF(Objekt!$C$9="Ja",D16*Objekt!$C$10,0)</f>
        <v/>
      </c>
      <c r="H16" s="56">
        <f>D16+G16</f>
        <v/>
      </c>
    </row>
    <row r="17">
      <c r="B17" s="13" t="n">
        <v>3</v>
      </c>
      <c r="C17" s="13">
        <f>Kostenarten!C8</f>
        <v/>
      </c>
      <c r="D17" s="56">
        <f>Kostenarten!M8</f>
        <v/>
      </c>
      <c r="E17" s="31">
        <f>Kostenarten!H8</f>
        <v/>
      </c>
      <c r="F17" s="35">
        <f>Kostenarten!I8</f>
        <v/>
      </c>
      <c r="G17" s="56">
        <f>IF(Objekt!$C$9="Ja",D17*Objekt!$C$10,0)</f>
        <v/>
      </c>
      <c r="H17" s="56">
        <f>D17+G17</f>
        <v/>
      </c>
    </row>
    <row r="18">
      <c r="B18" s="13" t="n">
        <v>4</v>
      </c>
      <c r="C18" s="13">
        <f>Kostenarten!C9</f>
        <v/>
      </c>
      <c r="D18" s="56">
        <f>Kostenarten!M9</f>
        <v/>
      </c>
      <c r="E18" s="31">
        <f>Kostenarten!H9</f>
        <v/>
      </c>
      <c r="F18" s="35">
        <f>Kostenarten!I9</f>
        <v/>
      </c>
      <c r="G18" s="56">
        <f>IF(Objekt!$C$9="Ja",D18*Objekt!$C$10,0)</f>
        <v/>
      </c>
      <c r="H18" s="56">
        <f>D18+G18</f>
        <v/>
      </c>
    </row>
    <row r="19">
      <c r="B19" s="13" t="n">
        <v>5</v>
      </c>
      <c r="C19" s="13">
        <f>Kostenarten!C10</f>
        <v/>
      </c>
      <c r="D19" s="56">
        <f>Kostenarten!M10</f>
        <v/>
      </c>
      <c r="E19" s="31">
        <f>Kostenarten!H10</f>
        <v/>
      </c>
      <c r="F19" s="35">
        <f>Kostenarten!I10</f>
        <v/>
      </c>
      <c r="G19" s="56">
        <f>IF(Objekt!$C$9="Ja",D19*Objekt!$C$10,0)</f>
        <v/>
      </c>
      <c r="H19" s="56">
        <f>D19+G19</f>
        <v/>
      </c>
    </row>
    <row r="20">
      <c r="B20" s="13" t="n">
        <v>6</v>
      </c>
      <c r="C20" s="13">
        <f>Kostenarten!C11</f>
        <v/>
      </c>
      <c r="D20" s="56">
        <f>Kostenarten!M11</f>
        <v/>
      </c>
      <c r="E20" s="31">
        <f>Kostenarten!H11</f>
        <v/>
      </c>
      <c r="F20" s="35">
        <f>Kostenarten!I11</f>
        <v/>
      </c>
      <c r="G20" s="56">
        <f>IF(Objekt!$C$9="Ja",D20*Objekt!$C$10,0)</f>
        <v/>
      </c>
      <c r="H20" s="56">
        <f>D20+G20</f>
        <v/>
      </c>
    </row>
    <row r="21">
      <c r="B21" s="13" t="n">
        <v>7</v>
      </c>
      <c r="C21" s="13">
        <f>Kostenarten!C12</f>
        <v/>
      </c>
      <c r="D21" s="56">
        <f>Kostenarten!M12</f>
        <v/>
      </c>
      <c r="E21" s="31">
        <f>Kostenarten!H12</f>
        <v/>
      </c>
      <c r="F21" s="35">
        <f>Kostenarten!I12</f>
        <v/>
      </c>
      <c r="G21" s="56">
        <f>IF(Objekt!$C$9="Ja",D21*Objekt!$C$10,0)</f>
        <v/>
      </c>
      <c r="H21" s="56">
        <f>D21+G21</f>
        <v/>
      </c>
    </row>
    <row r="22">
      <c r="B22" s="13" t="n">
        <v>8</v>
      </c>
      <c r="C22" s="13">
        <f>Kostenarten!C13</f>
        <v/>
      </c>
      <c r="D22" s="56">
        <f>Kostenarten!M13</f>
        <v/>
      </c>
      <c r="E22" s="31">
        <f>Kostenarten!H13</f>
        <v/>
      </c>
      <c r="F22" s="35">
        <f>Kostenarten!I13</f>
        <v/>
      </c>
      <c r="G22" s="56">
        <f>IF(Objekt!$C$9="Ja",D22*Objekt!$C$10,0)</f>
        <v/>
      </c>
      <c r="H22" s="56">
        <f>D22+G22</f>
        <v/>
      </c>
    </row>
    <row r="23">
      <c r="B23" s="13" t="n">
        <v>9</v>
      </c>
      <c r="C23" s="13">
        <f>Kostenarten!C14</f>
        <v/>
      </c>
      <c r="D23" s="56">
        <f>Kostenarten!M14</f>
        <v/>
      </c>
      <c r="E23" s="31">
        <f>Kostenarten!H14</f>
        <v/>
      </c>
      <c r="F23" s="35">
        <f>Kostenarten!I14</f>
        <v/>
      </c>
      <c r="G23" s="56">
        <f>IF(Objekt!$C$9="Ja",D23*Objekt!$C$10,0)</f>
        <v/>
      </c>
      <c r="H23" s="56">
        <f>D23+G23</f>
        <v/>
      </c>
    </row>
    <row r="24">
      <c r="B24" s="13" t="n">
        <v>10</v>
      </c>
      <c r="C24" s="13">
        <f>Kostenarten!C15</f>
        <v/>
      </c>
      <c r="D24" s="56">
        <f>Kostenarten!M15</f>
        <v/>
      </c>
      <c r="E24" s="31">
        <f>Kostenarten!H15</f>
        <v/>
      </c>
      <c r="F24" s="35">
        <f>Kostenarten!I15</f>
        <v/>
      </c>
      <c r="G24" s="56">
        <f>IF(Objekt!$C$9="Ja",D24*Objekt!$C$10,0)</f>
        <v/>
      </c>
      <c r="H24" s="56">
        <f>D24+G24</f>
        <v/>
      </c>
    </row>
    <row r="25">
      <c r="B25" s="13" t="n">
        <v>11</v>
      </c>
      <c r="C25" s="13">
        <f>Kostenarten!C16</f>
        <v/>
      </c>
      <c r="D25" s="56">
        <f>Kostenarten!M16</f>
        <v/>
      </c>
      <c r="E25" s="31">
        <f>Kostenarten!H16</f>
        <v/>
      </c>
      <c r="F25" s="35">
        <f>Kostenarten!I16</f>
        <v/>
      </c>
      <c r="G25" s="56">
        <f>IF(Objekt!$C$9="Ja",D25*Objekt!$C$10,0)</f>
        <v/>
      </c>
      <c r="H25" s="56">
        <f>D25+G25</f>
        <v/>
      </c>
    </row>
    <row r="26">
      <c r="B26" s="13" t="n">
        <v>12</v>
      </c>
      <c r="C26" s="13">
        <f>Kostenarten!C17</f>
        <v/>
      </c>
      <c r="D26" s="56">
        <f>Kostenarten!M17</f>
        <v/>
      </c>
      <c r="E26" s="31">
        <f>Kostenarten!H17</f>
        <v/>
      </c>
      <c r="F26" s="35">
        <f>Kostenarten!I17</f>
        <v/>
      </c>
      <c r="G26" s="56">
        <f>IF(Objekt!$C$9="Ja",D26*Objekt!$C$10,0)</f>
        <v/>
      </c>
      <c r="H26" s="56">
        <f>D26+G26</f>
        <v/>
      </c>
    </row>
    <row r="27">
      <c r="B27" s="13" t="n">
        <v>13</v>
      </c>
      <c r="C27" s="13">
        <f>Kostenarten!C18</f>
        <v/>
      </c>
      <c r="D27" s="56">
        <f>Kostenarten!M18</f>
        <v/>
      </c>
      <c r="E27" s="31">
        <f>Kostenarten!H18</f>
        <v/>
      </c>
      <c r="F27" s="35">
        <f>Kostenarten!I18</f>
        <v/>
      </c>
      <c r="G27" s="56">
        <f>IF(Objekt!$C$9="Ja",D27*Objekt!$C$10,0)</f>
        <v/>
      </c>
      <c r="H27" s="56">
        <f>D27+G27</f>
        <v/>
      </c>
    </row>
    <row r="28">
      <c r="B28" s="13" t="n">
        <v>14</v>
      </c>
      <c r="C28" s="13">
        <f>Kostenarten!C19</f>
        <v/>
      </c>
      <c r="D28" s="56">
        <f>Kostenarten!M19</f>
        <v/>
      </c>
      <c r="E28" s="31">
        <f>Kostenarten!H19</f>
        <v/>
      </c>
      <c r="F28" s="35">
        <f>Kostenarten!I19</f>
        <v/>
      </c>
      <c r="G28" s="56">
        <f>IF(Objekt!$C$9="Ja",D28*Objekt!$C$10,0)</f>
        <v/>
      </c>
      <c r="H28" s="56">
        <f>D28+G28</f>
        <v/>
      </c>
    </row>
    <row r="29">
      <c r="B29" s="13" t="n">
        <v>15</v>
      </c>
      <c r="C29" s="13">
        <f>Kostenarten!C20</f>
        <v/>
      </c>
      <c r="D29" s="56">
        <f>Kostenarten!M20</f>
        <v/>
      </c>
      <c r="E29" s="31">
        <f>Kostenarten!H20</f>
        <v/>
      </c>
      <c r="F29" s="35">
        <f>Kostenarten!I20</f>
        <v/>
      </c>
      <c r="G29" s="56">
        <f>IF(Objekt!$C$9="Ja",D29*Objekt!$C$10,0)</f>
        <v/>
      </c>
      <c r="H29" s="56">
        <f>D29+G29</f>
        <v/>
      </c>
    </row>
    <row r="30">
      <c r="B30" s="13" t="n">
        <v>16</v>
      </c>
      <c r="C30" s="13">
        <f>Kostenarten!C21</f>
        <v/>
      </c>
      <c r="D30" s="56">
        <f>Kostenarten!M21</f>
        <v/>
      </c>
      <c r="E30" s="31">
        <f>Kostenarten!H21</f>
        <v/>
      </c>
      <c r="F30" s="35">
        <f>Kostenarten!I21</f>
        <v/>
      </c>
      <c r="G30" s="56">
        <f>IF(Objekt!$C$9="Ja",D30*Objekt!$C$10,0)</f>
        <v/>
      </c>
      <c r="H30" s="56">
        <f>D30+G30</f>
        <v/>
      </c>
    </row>
    <row r="31">
      <c r="B31" s="13" t="n">
        <v>17</v>
      </c>
      <c r="C31" s="13">
        <f>Kostenarten!C22</f>
        <v/>
      </c>
      <c r="D31" s="56">
        <f>Kostenarten!M22</f>
        <v/>
      </c>
      <c r="E31" s="31">
        <f>Kostenarten!H22</f>
        <v/>
      </c>
      <c r="F31" s="35">
        <f>Kostenarten!I22</f>
        <v/>
      </c>
      <c r="G31" s="56">
        <f>IF(Objekt!$C$9="Ja",D31*Objekt!$C$10,0)</f>
        <v/>
      </c>
      <c r="H31" s="56">
        <f>D31+G31</f>
        <v/>
      </c>
    </row>
    <row r="32">
      <c r="B32" s="13" t="n">
        <v>18</v>
      </c>
      <c r="C32" s="13">
        <f>Kostenarten!C23</f>
        <v/>
      </c>
      <c r="D32" s="56">
        <f>Kostenarten!M23</f>
        <v/>
      </c>
      <c r="E32" s="31">
        <f>Kostenarten!H23</f>
        <v/>
      </c>
      <c r="F32" s="35">
        <f>Kostenarten!I23</f>
        <v/>
      </c>
      <c r="G32" s="56">
        <f>IF(Objekt!$C$9="Ja",D32*Objekt!$C$10,0)</f>
        <v/>
      </c>
      <c r="H32" s="56">
        <f>D32+G32</f>
        <v/>
      </c>
    </row>
    <row r="33">
      <c r="B33" s="13" t="n">
        <v>19</v>
      </c>
      <c r="C33" s="13">
        <f>Kostenarten!C24</f>
        <v/>
      </c>
      <c r="D33" s="56">
        <f>Kostenarten!M24</f>
        <v/>
      </c>
      <c r="E33" s="31">
        <f>Kostenarten!H24</f>
        <v/>
      </c>
      <c r="F33" s="35">
        <f>Kostenarten!I24</f>
        <v/>
      </c>
      <c r="G33" s="56">
        <f>IF(Objekt!$C$9="Ja",D33*Objekt!$C$10,0)</f>
        <v/>
      </c>
      <c r="H33" s="56">
        <f>D33+G33</f>
        <v/>
      </c>
    </row>
    <row r="34">
      <c r="B34" s="13" t="n">
        <v>20</v>
      </c>
      <c r="C34" s="13">
        <f>Kostenarten!C25</f>
        <v/>
      </c>
      <c r="D34" s="56">
        <f>Kostenarten!M25</f>
        <v/>
      </c>
      <c r="E34" s="31">
        <f>Kostenarten!H25</f>
        <v/>
      </c>
      <c r="F34" s="35">
        <f>Kostenarten!I25</f>
        <v/>
      </c>
      <c r="G34" s="56">
        <f>IF(Objekt!$C$9="Ja",D34*Objekt!$C$10,0)</f>
        <v/>
      </c>
      <c r="H34" s="56">
        <f>D34+G34</f>
        <v/>
      </c>
    </row>
    <row r="35">
      <c r="B35" s="13" t="n">
        <v>21</v>
      </c>
      <c r="C35" s="13">
        <f>Kostenarten!C26</f>
        <v/>
      </c>
      <c r="D35" s="56">
        <f>Kostenarten!M26</f>
        <v/>
      </c>
      <c r="E35" s="31">
        <f>Kostenarten!H26</f>
        <v/>
      </c>
      <c r="F35" s="35">
        <f>Kostenarten!I26</f>
        <v/>
      </c>
      <c r="G35" s="56">
        <f>IF(Objekt!$C$9="Ja",D35*Objekt!$C$10,0)</f>
        <v/>
      </c>
      <c r="H35" s="56">
        <f>D35+G35</f>
        <v/>
      </c>
    </row>
    <row r="36">
      <c r="B36" s="13" t="n">
        <v>22</v>
      </c>
      <c r="C36" s="13">
        <f>Kostenarten!C27</f>
        <v/>
      </c>
      <c r="D36" s="56">
        <f>Kostenarten!M27</f>
        <v/>
      </c>
      <c r="E36" s="31">
        <f>Kostenarten!H27</f>
        <v/>
      </c>
      <c r="F36" s="35">
        <f>Kostenarten!I27</f>
        <v/>
      </c>
      <c r="G36" s="56">
        <f>IF(Objekt!$C$9="Ja",D36*Objekt!$C$10,0)</f>
        <v/>
      </c>
      <c r="H36" s="56">
        <f>D36+G36</f>
        <v/>
      </c>
    </row>
    <row r="37">
      <c r="B37" s="13" t="n">
        <v>23</v>
      </c>
      <c r="C37" s="13">
        <f>Kostenarten!C28</f>
        <v/>
      </c>
      <c r="D37" s="56">
        <f>Kostenarten!M28</f>
        <v/>
      </c>
      <c r="E37" s="31">
        <f>Kostenarten!H28</f>
        <v/>
      </c>
      <c r="F37" s="35">
        <f>Kostenarten!I28</f>
        <v/>
      </c>
      <c r="G37" s="56">
        <f>IF(Objekt!$C$9="Ja",D37*Objekt!$C$10,0)</f>
        <v/>
      </c>
      <c r="H37" s="56">
        <f>D37+G37</f>
        <v/>
      </c>
    </row>
    <row r="38">
      <c r="C38" s="21" t="inlineStr">
        <is>
          <t>Zwischensumme</t>
        </is>
      </c>
      <c r="D38" s="57">
        <f>SUM(D15:D37)</f>
        <v/>
      </c>
      <c r="G38" s="57">
        <f>SUM(G15:G37)</f>
        <v/>
      </c>
      <c r="H38" s="57">
        <f>SUM(H15:H37)</f>
        <v/>
      </c>
    </row>
    <row r="40">
      <c r="B40" s="3" t="inlineStr">
        <is>
          <t>Ergebnis</t>
        </is>
      </c>
    </row>
    <row r="41">
      <c r="B41" s="27" t="inlineStr">
        <is>
          <t>Summe Anteil netto</t>
        </is>
      </c>
      <c r="C41" s="56">
        <f>D38</f>
        <v/>
      </c>
    </row>
    <row r="42">
      <c r="B42" s="27" t="inlineStr">
        <is>
          <t>zzgl. Umsatzsteuer</t>
        </is>
      </c>
      <c r="C42" s="56">
        <f>G38</f>
        <v/>
      </c>
    </row>
    <row r="43">
      <c r="B43" s="27" t="inlineStr">
        <is>
          <t>Summe brutto</t>
        </is>
      </c>
      <c r="C43" s="56">
        <f>H38</f>
        <v/>
      </c>
    </row>
    <row r="44">
      <c r="B44" s="27" t="inlineStr">
        <is>
          <t>abzgl. Vorauszahlungen brutto</t>
        </is>
      </c>
      <c r="C44" s="56">
        <f>Mieter!J6</f>
        <v/>
      </c>
    </row>
    <row r="45">
      <c r="B45" s="48" t="inlineStr">
        <is>
          <t>Nachzahlung / Guthaben (−)</t>
        </is>
      </c>
      <c r="C45" s="57">
        <f>C43-C44</f>
        <v/>
      </c>
    </row>
    <row r="47">
      <c r="B47" s="2" t="inlineStr">
        <is>
          <t>Positiv = Nachzahlung · Negativ = Guthaben</t>
        </is>
      </c>
    </row>
    <row r="49">
      <c r="B49" s="27" t="inlineStr">
        <is>
          <t>Erstellt am</t>
        </is>
      </c>
      <c r="C49" s="29" t="n">
        <v>46239</v>
      </c>
    </row>
    <row r="50">
      <c r="B50" s="27" t="inlineStr">
        <is>
          <t>Erstellt durch</t>
        </is>
      </c>
      <c r="C50" s="28" t="n"/>
    </row>
  </sheetData>
  <mergeCells count="3">
    <mergeCell ref="C7:E7"/>
    <mergeCell ref="C6:E6"/>
    <mergeCell ref="C5:E5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H50"/>
  <sheetViews>
    <sheetView showGridLines="0" workbookViewId="0">
      <pane xSplit="1" ySplit="14" topLeftCell="B1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4" customWidth="1" min="3" max="3"/>
    <col width="16" customWidth="1" min="4" max="4"/>
    <col width="12" customWidth="1" min="5" max="5"/>
    <col width="12" customWidth="1" min="6" max="6"/>
    <col width="16" customWidth="1" min="7" max="7"/>
    <col width="12" customWidth="1" min="8" max="8"/>
    <col width="14" customWidth="1" min="9" max="9"/>
  </cols>
  <sheetData>
    <row r="2">
      <c r="B2" s="49" t="inlineStr">
        <is>
          <t>Nebenkostenabrechnung Gewerbe – Mieter 2</t>
        </is>
      </c>
    </row>
    <row r="3">
      <c r="B3" s="2" t="inlineStr">
        <is>
          <t>Automatisch aus Objekt + Mieter + Kostenarten. Vor Versand prüfen.</t>
        </is>
      </c>
    </row>
    <row r="5">
      <c r="B5" s="27" t="inlineStr">
        <is>
          <t>Objekt</t>
        </is>
      </c>
      <c r="C5" s="31">
        <f>Objekt!C5</f>
        <v/>
      </c>
      <c r="D5" s="25" t="n"/>
      <c r="E5" s="26" t="n"/>
    </row>
    <row r="6">
      <c r="B6" s="27" t="inlineStr">
        <is>
          <t>Mieter</t>
        </is>
      </c>
      <c r="C6" s="31">
        <f>Mieter!C7</f>
        <v/>
      </c>
      <c r="D6" s="25" t="n"/>
      <c r="E6" s="26" t="n"/>
    </row>
    <row r="7">
      <c r="B7" s="27" t="inlineStr">
        <is>
          <t>Einheit</t>
        </is>
      </c>
      <c r="C7" s="31">
        <f>Mieter!D7</f>
        <v/>
      </c>
      <c r="D7" s="25" t="n"/>
      <c r="E7" s="26" t="n"/>
    </row>
    <row r="8">
      <c r="B8" s="27" t="inlineStr">
        <is>
          <t>Zeitraum von</t>
        </is>
      </c>
      <c r="C8" s="47">
        <f>Objekt!C7</f>
        <v/>
      </c>
    </row>
    <row r="9">
      <c r="B9" s="27" t="inlineStr">
        <is>
          <t>Zeitraum bis</t>
        </is>
      </c>
      <c r="C9" s="47">
        <f>Objekt!C8</f>
        <v/>
      </c>
    </row>
    <row r="10">
      <c r="B10" s="27" t="inlineStr">
        <is>
          <t>Fläche m²</t>
        </is>
      </c>
      <c r="C10" s="32">
        <f>Mieter!E7</f>
        <v/>
      </c>
    </row>
    <row r="11">
      <c r="B11" s="27" t="inlineStr">
        <is>
          <t>Flächenanteil</t>
        </is>
      </c>
      <c r="C11" s="35">
        <f>Mieter!F7</f>
        <v/>
      </c>
    </row>
    <row r="12">
      <c r="B12" s="27" t="inlineStr">
        <is>
          <t>USt-Option</t>
        </is>
      </c>
      <c r="C12" s="31">
        <f>Objekt!C9</f>
        <v/>
      </c>
    </row>
    <row r="14">
      <c r="B14" s="11" t="inlineStr">
        <is>
          <t>Nr</t>
        </is>
      </c>
      <c r="C14" s="11" t="inlineStr">
        <is>
          <t>Kostenart</t>
        </is>
      </c>
      <c r="D14" s="11" t="inlineStr">
        <is>
          <t>Anteil Mieter netto €</t>
        </is>
      </c>
      <c r="E14" s="11" t="inlineStr">
        <is>
          <t>Schlüssel</t>
        </is>
      </c>
      <c r="F14" s="11" t="inlineStr">
        <is>
          <t>Anteil %</t>
        </is>
      </c>
      <c r="G14" s="11" t="inlineStr">
        <is>
          <t>USt €</t>
        </is>
      </c>
      <c r="H14" s="11" t="inlineStr">
        <is>
          <t>Brutto €</t>
        </is>
      </c>
    </row>
    <row r="15">
      <c r="B15" s="13" t="n">
        <v>1</v>
      </c>
      <c r="C15" s="13">
        <f>Kostenarten!C6</f>
        <v/>
      </c>
      <c r="D15" s="56">
        <f>Kostenarten!N6</f>
        <v/>
      </c>
      <c r="E15" s="31">
        <f>Kostenarten!H6</f>
        <v/>
      </c>
      <c r="F15" s="35">
        <f>Kostenarten!J6</f>
        <v/>
      </c>
      <c r="G15" s="56">
        <f>IF(Objekt!$C$9="Ja",D15*Objekt!$C$10,0)</f>
        <v/>
      </c>
      <c r="H15" s="56">
        <f>D15+G15</f>
        <v/>
      </c>
    </row>
    <row r="16">
      <c r="B16" s="13" t="n">
        <v>2</v>
      </c>
      <c r="C16" s="13">
        <f>Kostenarten!C7</f>
        <v/>
      </c>
      <c r="D16" s="56">
        <f>Kostenarten!N7</f>
        <v/>
      </c>
      <c r="E16" s="31">
        <f>Kostenarten!H7</f>
        <v/>
      </c>
      <c r="F16" s="35">
        <f>Kostenarten!J7</f>
        <v/>
      </c>
      <c r="G16" s="56">
        <f>IF(Objekt!$C$9="Ja",D16*Objekt!$C$10,0)</f>
        <v/>
      </c>
      <c r="H16" s="56">
        <f>D16+G16</f>
        <v/>
      </c>
    </row>
    <row r="17">
      <c r="B17" s="13" t="n">
        <v>3</v>
      </c>
      <c r="C17" s="13">
        <f>Kostenarten!C8</f>
        <v/>
      </c>
      <c r="D17" s="56">
        <f>Kostenarten!N8</f>
        <v/>
      </c>
      <c r="E17" s="31">
        <f>Kostenarten!H8</f>
        <v/>
      </c>
      <c r="F17" s="35">
        <f>Kostenarten!J8</f>
        <v/>
      </c>
      <c r="G17" s="56">
        <f>IF(Objekt!$C$9="Ja",D17*Objekt!$C$10,0)</f>
        <v/>
      </c>
      <c r="H17" s="56">
        <f>D17+G17</f>
        <v/>
      </c>
    </row>
    <row r="18">
      <c r="B18" s="13" t="n">
        <v>4</v>
      </c>
      <c r="C18" s="13">
        <f>Kostenarten!C9</f>
        <v/>
      </c>
      <c r="D18" s="56">
        <f>Kostenarten!N9</f>
        <v/>
      </c>
      <c r="E18" s="31">
        <f>Kostenarten!H9</f>
        <v/>
      </c>
      <c r="F18" s="35">
        <f>Kostenarten!J9</f>
        <v/>
      </c>
      <c r="G18" s="56">
        <f>IF(Objekt!$C$9="Ja",D18*Objekt!$C$10,0)</f>
        <v/>
      </c>
      <c r="H18" s="56">
        <f>D18+G18</f>
        <v/>
      </c>
    </row>
    <row r="19">
      <c r="B19" s="13" t="n">
        <v>5</v>
      </c>
      <c r="C19" s="13">
        <f>Kostenarten!C10</f>
        <v/>
      </c>
      <c r="D19" s="56">
        <f>Kostenarten!N10</f>
        <v/>
      </c>
      <c r="E19" s="31">
        <f>Kostenarten!H10</f>
        <v/>
      </c>
      <c r="F19" s="35">
        <f>Kostenarten!J10</f>
        <v/>
      </c>
      <c r="G19" s="56">
        <f>IF(Objekt!$C$9="Ja",D19*Objekt!$C$10,0)</f>
        <v/>
      </c>
      <c r="H19" s="56">
        <f>D19+G19</f>
        <v/>
      </c>
    </row>
    <row r="20">
      <c r="B20" s="13" t="n">
        <v>6</v>
      </c>
      <c r="C20" s="13">
        <f>Kostenarten!C11</f>
        <v/>
      </c>
      <c r="D20" s="56">
        <f>Kostenarten!N11</f>
        <v/>
      </c>
      <c r="E20" s="31">
        <f>Kostenarten!H11</f>
        <v/>
      </c>
      <c r="F20" s="35">
        <f>Kostenarten!J11</f>
        <v/>
      </c>
      <c r="G20" s="56">
        <f>IF(Objekt!$C$9="Ja",D20*Objekt!$C$10,0)</f>
        <v/>
      </c>
      <c r="H20" s="56">
        <f>D20+G20</f>
        <v/>
      </c>
    </row>
    <row r="21">
      <c r="B21" s="13" t="n">
        <v>7</v>
      </c>
      <c r="C21" s="13">
        <f>Kostenarten!C12</f>
        <v/>
      </c>
      <c r="D21" s="56">
        <f>Kostenarten!N12</f>
        <v/>
      </c>
      <c r="E21" s="31">
        <f>Kostenarten!H12</f>
        <v/>
      </c>
      <c r="F21" s="35">
        <f>Kostenarten!J12</f>
        <v/>
      </c>
      <c r="G21" s="56">
        <f>IF(Objekt!$C$9="Ja",D21*Objekt!$C$10,0)</f>
        <v/>
      </c>
      <c r="H21" s="56">
        <f>D21+G21</f>
        <v/>
      </c>
    </row>
    <row r="22">
      <c r="B22" s="13" t="n">
        <v>8</v>
      </c>
      <c r="C22" s="13">
        <f>Kostenarten!C13</f>
        <v/>
      </c>
      <c r="D22" s="56">
        <f>Kostenarten!N13</f>
        <v/>
      </c>
      <c r="E22" s="31">
        <f>Kostenarten!H13</f>
        <v/>
      </c>
      <c r="F22" s="35">
        <f>Kostenarten!J13</f>
        <v/>
      </c>
      <c r="G22" s="56">
        <f>IF(Objekt!$C$9="Ja",D22*Objekt!$C$10,0)</f>
        <v/>
      </c>
      <c r="H22" s="56">
        <f>D22+G22</f>
        <v/>
      </c>
    </row>
    <row r="23">
      <c r="B23" s="13" t="n">
        <v>9</v>
      </c>
      <c r="C23" s="13">
        <f>Kostenarten!C14</f>
        <v/>
      </c>
      <c r="D23" s="56">
        <f>Kostenarten!N14</f>
        <v/>
      </c>
      <c r="E23" s="31">
        <f>Kostenarten!H14</f>
        <v/>
      </c>
      <c r="F23" s="35">
        <f>Kostenarten!J14</f>
        <v/>
      </c>
      <c r="G23" s="56">
        <f>IF(Objekt!$C$9="Ja",D23*Objekt!$C$10,0)</f>
        <v/>
      </c>
      <c r="H23" s="56">
        <f>D23+G23</f>
        <v/>
      </c>
    </row>
    <row r="24">
      <c r="B24" s="13" t="n">
        <v>10</v>
      </c>
      <c r="C24" s="13">
        <f>Kostenarten!C15</f>
        <v/>
      </c>
      <c r="D24" s="56">
        <f>Kostenarten!N15</f>
        <v/>
      </c>
      <c r="E24" s="31">
        <f>Kostenarten!H15</f>
        <v/>
      </c>
      <c r="F24" s="35">
        <f>Kostenarten!J15</f>
        <v/>
      </c>
      <c r="G24" s="56">
        <f>IF(Objekt!$C$9="Ja",D24*Objekt!$C$10,0)</f>
        <v/>
      </c>
      <c r="H24" s="56">
        <f>D24+G24</f>
        <v/>
      </c>
    </row>
    <row r="25">
      <c r="B25" s="13" t="n">
        <v>11</v>
      </c>
      <c r="C25" s="13">
        <f>Kostenarten!C16</f>
        <v/>
      </c>
      <c r="D25" s="56">
        <f>Kostenarten!N16</f>
        <v/>
      </c>
      <c r="E25" s="31">
        <f>Kostenarten!H16</f>
        <v/>
      </c>
      <c r="F25" s="35">
        <f>Kostenarten!J16</f>
        <v/>
      </c>
      <c r="G25" s="56">
        <f>IF(Objekt!$C$9="Ja",D25*Objekt!$C$10,0)</f>
        <v/>
      </c>
      <c r="H25" s="56">
        <f>D25+G25</f>
        <v/>
      </c>
    </row>
    <row r="26">
      <c r="B26" s="13" t="n">
        <v>12</v>
      </c>
      <c r="C26" s="13">
        <f>Kostenarten!C17</f>
        <v/>
      </c>
      <c r="D26" s="56">
        <f>Kostenarten!N17</f>
        <v/>
      </c>
      <c r="E26" s="31">
        <f>Kostenarten!H17</f>
        <v/>
      </c>
      <c r="F26" s="35">
        <f>Kostenarten!J17</f>
        <v/>
      </c>
      <c r="G26" s="56">
        <f>IF(Objekt!$C$9="Ja",D26*Objekt!$C$10,0)</f>
        <v/>
      </c>
      <c r="H26" s="56">
        <f>D26+G26</f>
        <v/>
      </c>
    </row>
    <row r="27">
      <c r="B27" s="13" t="n">
        <v>13</v>
      </c>
      <c r="C27" s="13">
        <f>Kostenarten!C18</f>
        <v/>
      </c>
      <c r="D27" s="56">
        <f>Kostenarten!N18</f>
        <v/>
      </c>
      <c r="E27" s="31">
        <f>Kostenarten!H18</f>
        <v/>
      </c>
      <c r="F27" s="35">
        <f>Kostenarten!J18</f>
        <v/>
      </c>
      <c r="G27" s="56">
        <f>IF(Objekt!$C$9="Ja",D27*Objekt!$C$10,0)</f>
        <v/>
      </c>
      <c r="H27" s="56">
        <f>D27+G27</f>
        <v/>
      </c>
    </row>
    <row r="28">
      <c r="B28" s="13" t="n">
        <v>14</v>
      </c>
      <c r="C28" s="13">
        <f>Kostenarten!C19</f>
        <v/>
      </c>
      <c r="D28" s="56">
        <f>Kostenarten!N19</f>
        <v/>
      </c>
      <c r="E28" s="31">
        <f>Kostenarten!H19</f>
        <v/>
      </c>
      <c r="F28" s="35">
        <f>Kostenarten!J19</f>
        <v/>
      </c>
      <c r="G28" s="56">
        <f>IF(Objekt!$C$9="Ja",D28*Objekt!$C$10,0)</f>
        <v/>
      </c>
      <c r="H28" s="56">
        <f>D28+G28</f>
        <v/>
      </c>
    </row>
    <row r="29">
      <c r="B29" s="13" t="n">
        <v>15</v>
      </c>
      <c r="C29" s="13">
        <f>Kostenarten!C20</f>
        <v/>
      </c>
      <c r="D29" s="56">
        <f>Kostenarten!N20</f>
        <v/>
      </c>
      <c r="E29" s="31">
        <f>Kostenarten!H20</f>
        <v/>
      </c>
      <c r="F29" s="35">
        <f>Kostenarten!J20</f>
        <v/>
      </c>
      <c r="G29" s="56">
        <f>IF(Objekt!$C$9="Ja",D29*Objekt!$C$10,0)</f>
        <v/>
      </c>
      <c r="H29" s="56">
        <f>D29+G29</f>
        <v/>
      </c>
    </row>
    <row r="30">
      <c r="B30" s="13" t="n">
        <v>16</v>
      </c>
      <c r="C30" s="13">
        <f>Kostenarten!C21</f>
        <v/>
      </c>
      <c r="D30" s="56">
        <f>Kostenarten!N21</f>
        <v/>
      </c>
      <c r="E30" s="31">
        <f>Kostenarten!H21</f>
        <v/>
      </c>
      <c r="F30" s="35">
        <f>Kostenarten!J21</f>
        <v/>
      </c>
      <c r="G30" s="56">
        <f>IF(Objekt!$C$9="Ja",D30*Objekt!$C$10,0)</f>
        <v/>
      </c>
      <c r="H30" s="56">
        <f>D30+G30</f>
        <v/>
      </c>
    </row>
    <row r="31">
      <c r="B31" s="13" t="n">
        <v>17</v>
      </c>
      <c r="C31" s="13">
        <f>Kostenarten!C22</f>
        <v/>
      </c>
      <c r="D31" s="56">
        <f>Kostenarten!N22</f>
        <v/>
      </c>
      <c r="E31" s="31">
        <f>Kostenarten!H22</f>
        <v/>
      </c>
      <c r="F31" s="35">
        <f>Kostenarten!J22</f>
        <v/>
      </c>
      <c r="G31" s="56">
        <f>IF(Objekt!$C$9="Ja",D31*Objekt!$C$10,0)</f>
        <v/>
      </c>
      <c r="H31" s="56">
        <f>D31+G31</f>
        <v/>
      </c>
    </row>
    <row r="32">
      <c r="B32" s="13" t="n">
        <v>18</v>
      </c>
      <c r="C32" s="13">
        <f>Kostenarten!C23</f>
        <v/>
      </c>
      <c r="D32" s="56">
        <f>Kostenarten!N23</f>
        <v/>
      </c>
      <c r="E32" s="31">
        <f>Kostenarten!H23</f>
        <v/>
      </c>
      <c r="F32" s="35">
        <f>Kostenarten!J23</f>
        <v/>
      </c>
      <c r="G32" s="56">
        <f>IF(Objekt!$C$9="Ja",D32*Objekt!$C$10,0)</f>
        <v/>
      </c>
      <c r="H32" s="56">
        <f>D32+G32</f>
        <v/>
      </c>
    </row>
    <row r="33">
      <c r="B33" s="13" t="n">
        <v>19</v>
      </c>
      <c r="C33" s="13">
        <f>Kostenarten!C24</f>
        <v/>
      </c>
      <c r="D33" s="56">
        <f>Kostenarten!N24</f>
        <v/>
      </c>
      <c r="E33" s="31">
        <f>Kostenarten!H24</f>
        <v/>
      </c>
      <c r="F33" s="35">
        <f>Kostenarten!J24</f>
        <v/>
      </c>
      <c r="G33" s="56">
        <f>IF(Objekt!$C$9="Ja",D33*Objekt!$C$10,0)</f>
        <v/>
      </c>
      <c r="H33" s="56">
        <f>D33+G33</f>
        <v/>
      </c>
    </row>
    <row r="34">
      <c r="B34" s="13" t="n">
        <v>20</v>
      </c>
      <c r="C34" s="13">
        <f>Kostenarten!C25</f>
        <v/>
      </c>
      <c r="D34" s="56">
        <f>Kostenarten!N25</f>
        <v/>
      </c>
      <c r="E34" s="31">
        <f>Kostenarten!H25</f>
        <v/>
      </c>
      <c r="F34" s="35">
        <f>Kostenarten!J25</f>
        <v/>
      </c>
      <c r="G34" s="56">
        <f>IF(Objekt!$C$9="Ja",D34*Objekt!$C$10,0)</f>
        <v/>
      </c>
      <c r="H34" s="56">
        <f>D34+G34</f>
        <v/>
      </c>
    </row>
    <row r="35">
      <c r="B35" s="13" t="n">
        <v>21</v>
      </c>
      <c r="C35" s="13">
        <f>Kostenarten!C26</f>
        <v/>
      </c>
      <c r="D35" s="56">
        <f>Kostenarten!N26</f>
        <v/>
      </c>
      <c r="E35" s="31">
        <f>Kostenarten!H26</f>
        <v/>
      </c>
      <c r="F35" s="35">
        <f>Kostenarten!J26</f>
        <v/>
      </c>
      <c r="G35" s="56">
        <f>IF(Objekt!$C$9="Ja",D35*Objekt!$C$10,0)</f>
        <v/>
      </c>
      <c r="H35" s="56">
        <f>D35+G35</f>
        <v/>
      </c>
    </row>
    <row r="36">
      <c r="B36" s="13" t="n">
        <v>22</v>
      </c>
      <c r="C36" s="13">
        <f>Kostenarten!C27</f>
        <v/>
      </c>
      <c r="D36" s="56">
        <f>Kostenarten!N27</f>
        <v/>
      </c>
      <c r="E36" s="31">
        <f>Kostenarten!H27</f>
        <v/>
      </c>
      <c r="F36" s="35">
        <f>Kostenarten!J27</f>
        <v/>
      </c>
      <c r="G36" s="56">
        <f>IF(Objekt!$C$9="Ja",D36*Objekt!$C$10,0)</f>
        <v/>
      </c>
      <c r="H36" s="56">
        <f>D36+G36</f>
        <v/>
      </c>
    </row>
    <row r="37">
      <c r="B37" s="13" t="n">
        <v>23</v>
      </c>
      <c r="C37" s="13">
        <f>Kostenarten!C28</f>
        <v/>
      </c>
      <c r="D37" s="56">
        <f>Kostenarten!N28</f>
        <v/>
      </c>
      <c r="E37" s="31">
        <f>Kostenarten!H28</f>
        <v/>
      </c>
      <c r="F37" s="35">
        <f>Kostenarten!J28</f>
        <v/>
      </c>
      <c r="G37" s="56">
        <f>IF(Objekt!$C$9="Ja",D37*Objekt!$C$10,0)</f>
        <v/>
      </c>
      <c r="H37" s="56">
        <f>D37+G37</f>
        <v/>
      </c>
    </row>
    <row r="38">
      <c r="C38" s="21" t="inlineStr">
        <is>
          <t>Zwischensumme</t>
        </is>
      </c>
      <c r="D38" s="57">
        <f>SUM(D15:D37)</f>
        <v/>
      </c>
      <c r="G38" s="57">
        <f>SUM(G15:G37)</f>
        <v/>
      </c>
      <c r="H38" s="57">
        <f>SUM(H15:H37)</f>
        <v/>
      </c>
    </row>
    <row r="40">
      <c r="B40" s="3" t="inlineStr">
        <is>
          <t>Ergebnis</t>
        </is>
      </c>
    </row>
    <row r="41">
      <c r="B41" s="27" t="inlineStr">
        <is>
          <t>Summe Anteil netto</t>
        </is>
      </c>
      <c r="C41" s="56">
        <f>D38</f>
        <v/>
      </c>
    </row>
    <row r="42">
      <c r="B42" s="27" t="inlineStr">
        <is>
          <t>zzgl. Umsatzsteuer</t>
        </is>
      </c>
      <c r="C42" s="56">
        <f>G38</f>
        <v/>
      </c>
    </row>
    <row r="43">
      <c r="B43" s="27" t="inlineStr">
        <is>
          <t>Summe brutto</t>
        </is>
      </c>
      <c r="C43" s="56">
        <f>H38</f>
        <v/>
      </c>
    </row>
    <row r="44">
      <c r="B44" s="27" t="inlineStr">
        <is>
          <t>abzgl. Vorauszahlungen brutto</t>
        </is>
      </c>
      <c r="C44" s="56">
        <f>Mieter!J7</f>
        <v/>
      </c>
    </row>
    <row r="45">
      <c r="B45" s="48" t="inlineStr">
        <is>
          <t>Nachzahlung / Guthaben (−)</t>
        </is>
      </c>
      <c r="C45" s="57">
        <f>C43-C44</f>
        <v/>
      </c>
    </row>
    <row r="47">
      <c r="B47" s="2" t="inlineStr">
        <is>
          <t>Positiv = Nachzahlung · Negativ = Guthaben</t>
        </is>
      </c>
    </row>
    <row r="49">
      <c r="B49" s="27" t="inlineStr">
        <is>
          <t>Erstellt am</t>
        </is>
      </c>
      <c r="C49" s="29" t="n">
        <v>46239</v>
      </c>
    </row>
    <row r="50">
      <c r="B50" s="27" t="inlineStr">
        <is>
          <t>Erstellt durch</t>
        </is>
      </c>
      <c r="C50" s="28" t="n"/>
    </row>
  </sheetData>
  <mergeCells count="3">
    <mergeCell ref="C7:E7"/>
    <mergeCell ref="C6:E6"/>
    <mergeCell ref="C5:E5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H50"/>
  <sheetViews>
    <sheetView showGridLines="0" workbookViewId="0">
      <pane xSplit="1" ySplit="14" topLeftCell="B1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4" customWidth="1" min="3" max="3"/>
    <col width="16" customWidth="1" min="4" max="4"/>
    <col width="12" customWidth="1" min="5" max="5"/>
    <col width="12" customWidth="1" min="6" max="6"/>
    <col width="16" customWidth="1" min="7" max="7"/>
    <col width="12" customWidth="1" min="8" max="8"/>
    <col width="14" customWidth="1" min="9" max="9"/>
  </cols>
  <sheetData>
    <row r="2">
      <c r="B2" s="50" t="inlineStr">
        <is>
          <t>Nebenkostenabrechnung Gewerbe – Mieter 3</t>
        </is>
      </c>
    </row>
    <row r="3">
      <c r="B3" s="2" t="inlineStr">
        <is>
          <t>Automatisch aus Objekt + Mieter + Kostenarten. Vor Versand prüfen.</t>
        </is>
      </c>
    </row>
    <row r="5">
      <c r="B5" s="27" t="inlineStr">
        <is>
          <t>Objekt</t>
        </is>
      </c>
      <c r="C5" s="31">
        <f>Objekt!C5</f>
        <v/>
      </c>
      <c r="D5" s="25" t="n"/>
      <c r="E5" s="26" t="n"/>
    </row>
    <row r="6">
      <c r="B6" s="27" t="inlineStr">
        <is>
          <t>Mieter</t>
        </is>
      </c>
      <c r="C6" s="31">
        <f>Mieter!C8</f>
        <v/>
      </c>
      <c r="D6" s="25" t="n"/>
      <c r="E6" s="26" t="n"/>
    </row>
    <row r="7">
      <c r="B7" s="27" t="inlineStr">
        <is>
          <t>Einheit</t>
        </is>
      </c>
      <c r="C7" s="31">
        <f>Mieter!D8</f>
        <v/>
      </c>
      <c r="D7" s="25" t="n"/>
      <c r="E7" s="26" t="n"/>
    </row>
    <row r="8">
      <c r="B8" s="27" t="inlineStr">
        <is>
          <t>Zeitraum von</t>
        </is>
      </c>
      <c r="C8" s="47">
        <f>Objekt!C7</f>
        <v/>
      </c>
    </row>
    <row r="9">
      <c r="B9" s="27" t="inlineStr">
        <is>
          <t>Zeitraum bis</t>
        </is>
      </c>
      <c r="C9" s="47">
        <f>Objekt!C8</f>
        <v/>
      </c>
    </row>
    <row r="10">
      <c r="B10" s="27" t="inlineStr">
        <is>
          <t>Fläche m²</t>
        </is>
      </c>
      <c r="C10" s="32">
        <f>Mieter!E8</f>
        <v/>
      </c>
    </row>
    <row r="11">
      <c r="B11" s="27" t="inlineStr">
        <is>
          <t>Flächenanteil</t>
        </is>
      </c>
      <c r="C11" s="35">
        <f>Mieter!F8</f>
        <v/>
      </c>
    </row>
    <row r="12">
      <c r="B12" s="27" t="inlineStr">
        <is>
          <t>USt-Option</t>
        </is>
      </c>
      <c r="C12" s="31">
        <f>Objekt!C9</f>
        <v/>
      </c>
    </row>
    <row r="14">
      <c r="B14" s="11" t="inlineStr">
        <is>
          <t>Nr</t>
        </is>
      </c>
      <c r="C14" s="11" t="inlineStr">
        <is>
          <t>Kostenart</t>
        </is>
      </c>
      <c r="D14" s="11" t="inlineStr">
        <is>
          <t>Anteil Mieter netto €</t>
        </is>
      </c>
      <c r="E14" s="11" t="inlineStr">
        <is>
          <t>Schlüssel</t>
        </is>
      </c>
      <c r="F14" s="11" t="inlineStr">
        <is>
          <t>Anteil %</t>
        </is>
      </c>
      <c r="G14" s="11" t="inlineStr">
        <is>
          <t>USt €</t>
        </is>
      </c>
      <c r="H14" s="11" t="inlineStr">
        <is>
          <t>Brutto €</t>
        </is>
      </c>
    </row>
    <row r="15">
      <c r="B15" s="13" t="n">
        <v>1</v>
      </c>
      <c r="C15" s="13">
        <f>Kostenarten!C6</f>
        <v/>
      </c>
      <c r="D15" s="56">
        <f>Kostenarten!O6</f>
        <v/>
      </c>
      <c r="E15" s="31">
        <f>Kostenarten!H6</f>
        <v/>
      </c>
      <c r="F15" s="35">
        <f>Kostenarten!K6</f>
        <v/>
      </c>
      <c r="G15" s="56">
        <f>IF(Objekt!$C$9="Ja",D15*Objekt!$C$10,0)</f>
        <v/>
      </c>
      <c r="H15" s="56">
        <f>D15+G15</f>
        <v/>
      </c>
    </row>
    <row r="16">
      <c r="B16" s="13" t="n">
        <v>2</v>
      </c>
      <c r="C16" s="13">
        <f>Kostenarten!C7</f>
        <v/>
      </c>
      <c r="D16" s="56">
        <f>Kostenarten!O7</f>
        <v/>
      </c>
      <c r="E16" s="31">
        <f>Kostenarten!H7</f>
        <v/>
      </c>
      <c r="F16" s="35">
        <f>Kostenarten!K7</f>
        <v/>
      </c>
      <c r="G16" s="56">
        <f>IF(Objekt!$C$9="Ja",D16*Objekt!$C$10,0)</f>
        <v/>
      </c>
      <c r="H16" s="56">
        <f>D16+G16</f>
        <v/>
      </c>
    </row>
    <row r="17">
      <c r="B17" s="13" t="n">
        <v>3</v>
      </c>
      <c r="C17" s="13">
        <f>Kostenarten!C8</f>
        <v/>
      </c>
      <c r="D17" s="56">
        <f>Kostenarten!O8</f>
        <v/>
      </c>
      <c r="E17" s="31">
        <f>Kostenarten!H8</f>
        <v/>
      </c>
      <c r="F17" s="35">
        <f>Kostenarten!K8</f>
        <v/>
      </c>
      <c r="G17" s="56">
        <f>IF(Objekt!$C$9="Ja",D17*Objekt!$C$10,0)</f>
        <v/>
      </c>
      <c r="H17" s="56">
        <f>D17+G17</f>
        <v/>
      </c>
    </row>
    <row r="18">
      <c r="B18" s="13" t="n">
        <v>4</v>
      </c>
      <c r="C18" s="13">
        <f>Kostenarten!C9</f>
        <v/>
      </c>
      <c r="D18" s="56">
        <f>Kostenarten!O9</f>
        <v/>
      </c>
      <c r="E18" s="31">
        <f>Kostenarten!H9</f>
        <v/>
      </c>
      <c r="F18" s="35">
        <f>Kostenarten!K9</f>
        <v/>
      </c>
      <c r="G18" s="56">
        <f>IF(Objekt!$C$9="Ja",D18*Objekt!$C$10,0)</f>
        <v/>
      </c>
      <c r="H18" s="56">
        <f>D18+G18</f>
        <v/>
      </c>
    </row>
    <row r="19">
      <c r="B19" s="13" t="n">
        <v>5</v>
      </c>
      <c r="C19" s="13">
        <f>Kostenarten!C10</f>
        <v/>
      </c>
      <c r="D19" s="56">
        <f>Kostenarten!O10</f>
        <v/>
      </c>
      <c r="E19" s="31">
        <f>Kostenarten!H10</f>
        <v/>
      </c>
      <c r="F19" s="35">
        <f>Kostenarten!K10</f>
        <v/>
      </c>
      <c r="G19" s="56">
        <f>IF(Objekt!$C$9="Ja",D19*Objekt!$C$10,0)</f>
        <v/>
      </c>
      <c r="H19" s="56">
        <f>D19+G19</f>
        <v/>
      </c>
    </row>
    <row r="20">
      <c r="B20" s="13" t="n">
        <v>6</v>
      </c>
      <c r="C20" s="13">
        <f>Kostenarten!C11</f>
        <v/>
      </c>
      <c r="D20" s="56">
        <f>Kostenarten!O11</f>
        <v/>
      </c>
      <c r="E20" s="31">
        <f>Kostenarten!H11</f>
        <v/>
      </c>
      <c r="F20" s="35">
        <f>Kostenarten!K11</f>
        <v/>
      </c>
      <c r="G20" s="56">
        <f>IF(Objekt!$C$9="Ja",D20*Objekt!$C$10,0)</f>
        <v/>
      </c>
      <c r="H20" s="56">
        <f>D20+G20</f>
        <v/>
      </c>
    </row>
    <row r="21">
      <c r="B21" s="13" t="n">
        <v>7</v>
      </c>
      <c r="C21" s="13">
        <f>Kostenarten!C12</f>
        <v/>
      </c>
      <c r="D21" s="56">
        <f>Kostenarten!O12</f>
        <v/>
      </c>
      <c r="E21" s="31">
        <f>Kostenarten!H12</f>
        <v/>
      </c>
      <c r="F21" s="35">
        <f>Kostenarten!K12</f>
        <v/>
      </c>
      <c r="G21" s="56">
        <f>IF(Objekt!$C$9="Ja",D21*Objekt!$C$10,0)</f>
        <v/>
      </c>
      <c r="H21" s="56">
        <f>D21+G21</f>
        <v/>
      </c>
    </row>
    <row r="22">
      <c r="B22" s="13" t="n">
        <v>8</v>
      </c>
      <c r="C22" s="13">
        <f>Kostenarten!C13</f>
        <v/>
      </c>
      <c r="D22" s="56">
        <f>Kostenarten!O13</f>
        <v/>
      </c>
      <c r="E22" s="31">
        <f>Kostenarten!H13</f>
        <v/>
      </c>
      <c r="F22" s="35">
        <f>Kostenarten!K13</f>
        <v/>
      </c>
      <c r="G22" s="56">
        <f>IF(Objekt!$C$9="Ja",D22*Objekt!$C$10,0)</f>
        <v/>
      </c>
      <c r="H22" s="56">
        <f>D22+G22</f>
        <v/>
      </c>
    </row>
    <row r="23">
      <c r="B23" s="13" t="n">
        <v>9</v>
      </c>
      <c r="C23" s="13">
        <f>Kostenarten!C14</f>
        <v/>
      </c>
      <c r="D23" s="56">
        <f>Kostenarten!O14</f>
        <v/>
      </c>
      <c r="E23" s="31">
        <f>Kostenarten!H14</f>
        <v/>
      </c>
      <c r="F23" s="35">
        <f>Kostenarten!K14</f>
        <v/>
      </c>
      <c r="G23" s="56">
        <f>IF(Objekt!$C$9="Ja",D23*Objekt!$C$10,0)</f>
        <v/>
      </c>
      <c r="H23" s="56">
        <f>D23+G23</f>
        <v/>
      </c>
    </row>
    <row r="24">
      <c r="B24" s="13" t="n">
        <v>10</v>
      </c>
      <c r="C24" s="13">
        <f>Kostenarten!C15</f>
        <v/>
      </c>
      <c r="D24" s="56">
        <f>Kostenarten!O15</f>
        <v/>
      </c>
      <c r="E24" s="31">
        <f>Kostenarten!H15</f>
        <v/>
      </c>
      <c r="F24" s="35">
        <f>Kostenarten!K15</f>
        <v/>
      </c>
      <c r="G24" s="56">
        <f>IF(Objekt!$C$9="Ja",D24*Objekt!$C$10,0)</f>
        <v/>
      </c>
      <c r="H24" s="56">
        <f>D24+G24</f>
        <v/>
      </c>
    </row>
    <row r="25">
      <c r="B25" s="13" t="n">
        <v>11</v>
      </c>
      <c r="C25" s="13">
        <f>Kostenarten!C16</f>
        <v/>
      </c>
      <c r="D25" s="56">
        <f>Kostenarten!O16</f>
        <v/>
      </c>
      <c r="E25" s="31">
        <f>Kostenarten!H16</f>
        <v/>
      </c>
      <c r="F25" s="35">
        <f>Kostenarten!K16</f>
        <v/>
      </c>
      <c r="G25" s="56">
        <f>IF(Objekt!$C$9="Ja",D25*Objekt!$C$10,0)</f>
        <v/>
      </c>
      <c r="H25" s="56">
        <f>D25+G25</f>
        <v/>
      </c>
    </row>
    <row r="26">
      <c r="B26" s="13" t="n">
        <v>12</v>
      </c>
      <c r="C26" s="13">
        <f>Kostenarten!C17</f>
        <v/>
      </c>
      <c r="D26" s="56">
        <f>Kostenarten!O17</f>
        <v/>
      </c>
      <c r="E26" s="31">
        <f>Kostenarten!H17</f>
        <v/>
      </c>
      <c r="F26" s="35">
        <f>Kostenarten!K17</f>
        <v/>
      </c>
      <c r="G26" s="56">
        <f>IF(Objekt!$C$9="Ja",D26*Objekt!$C$10,0)</f>
        <v/>
      </c>
      <c r="H26" s="56">
        <f>D26+G26</f>
        <v/>
      </c>
    </row>
    <row r="27">
      <c r="B27" s="13" t="n">
        <v>13</v>
      </c>
      <c r="C27" s="13">
        <f>Kostenarten!C18</f>
        <v/>
      </c>
      <c r="D27" s="56">
        <f>Kostenarten!O18</f>
        <v/>
      </c>
      <c r="E27" s="31">
        <f>Kostenarten!H18</f>
        <v/>
      </c>
      <c r="F27" s="35">
        <f>Kostenarten!K18</f>
        <v/>
      </c>
      <c r="G27" s="56">
        <f>IF(Objekt!$C$9="Ja",D27*Objekt!$C$10,0)</f>
        <v/>
      </c>
      <c r="H27" s="56">
        <f>D27+G27</f>
        <v/>
      </c>
    </row>
    <row r="28">
      <c r="B28" s="13" t="n">
        <v>14</v>
      </c>
      <c r="C28" s="13">
        <f>Kostenarten!C19</f>
        <v/>
      </c>
      <c r="D28" s="56">
        <f>Kostenarten!O19</f>
        <v/>
      </c>
      <c r="E28" s="31">
        <f>Kostenarten!H19</f>
        <v/>
      </c>
      <c r="F28" s="35">
        <f>Kostenarten!K19</f>
        <v/>
      </c>
      <c r="G28" s="56">
        <f>IF(Objekt!$C$9="Ja",D28*Objekt!$C$10,0)</f>
        <v/>
      </c>
      <c r="H28" s="56">
        <f>D28+G28</f>
        <v/>
      </c>
    </row>
    <row r="29">
      <c r="B29" s="13" t="n">
        <v>15</v>
      </c>
      <c r="C29" s="13">
        <f>Kostenarten!C20</f>
        <v/>
      </c>
      <c r="D29" s="56">
        <f>Kostenarten!O20</f>
        <v/>
      </c>
      <c r="E29" s="31">
        <f>Kostenarten!H20</f>
        <v/>
      </c>
      <c r="F29" s="35">
        <f>Kostenarten!K20</f>
        <v/>
      </c>
      <c r="G29" s="56">
        <f>IF(Objekt!$C$9="Ja",D29*Objekt!$C$10,0)</f>
        <v/>
      </c>
      <c r="H29" s="56">
        <f>D29+G29</f>
        <v/>
      </c>
    </row>
    <row r="30">
      <c r="B30" s="13" t="n">
        <v>16</v>
      </c>
      <c r="C30" s="13">
        <f>Kostenarten!C21</f>
        <v/>
      </c>
      <c r="D30" s="56">
        <f>Kostenarten!O21</f>
        <v/>
      </c>
      <c r="E30" s="31">
        <f>Kostenarten!H21</f>
        <v/>
      </c>
      <c r="F30" s="35">
        <f>Kostenarten!K21</f>
        <v/>
      </c>
      <c r="G30" s="56">
        <f>IF(Objekt!$C$9="Ja",D30*Objekt!$C$10,0)</f>
        <v/>
      </c>
      <c r="H30" s="56">
        <f>D30+G30</f>
        <v/>
      </c>
    </row>
    <row r="31">
      <c r="B31" s="13" t="n">
        <v>17</v>
      </c>
      <c r="C31" s="13">
        <f>Kostenarten!C22</f>
        <v/>
      </c>
      <c r="D31" s="56">
        <f>Kostenarten!O22</f>
        <v/>
      </c>
      <c r="E31" s="31">
        <f>Kostenarten!H22</f>
        <v/>
      </c>
      <c r="F31" s="35">
        <f>Kostenarten!K22</f>
        <v/>
      </c>
      <c r="G31" s="56">
        <f>IF(Objekt!$C$9="Ja",D31*Objekt!$C$10,0)</f>
        <v/>
      </c>
      <c r="H31" s="56">
        <f>D31+G31</f>
        <v/>
      </c>
    </row>
    <row r="32">
      <c r="B32" s="13" t="n">
        <v>18</v>
      </c>
      <c r="C32" s="13">
        <f>Kostenarten!C23</f>
        <v/>
      </c>
      <c r="D32" s="56">
        <f>Kostenarten!O23</f>
        <v/>
      </c>
      <c r="E32" s="31">
        <f>Kostenarten!H23</f>
        <v/>
      </c>
      <c r="F32" s="35">
        <f>Kostenarten!K23</f>
        <v/>
      </c>
      <c r="G32" s="56">
        <f>IF(Objekt!$C$9="Ja",D32*Objekt!$C$10,0)</f>
        <v/>
      </c>
      <c r="H32" s="56">
        <f>D32+G32</f>
        <v/>
      </c>
    </row>
    <row r="33">
      <c r="B33" s="13" t="n">
        <v>19</v>
      </c>
      <c r="C33" s="13">
        <f>Kostenarten!C24</f>
        <v/>
      </c>
      <c r="D33" s="56">
        <f>Kostenarten!O24</f>
        <v/>
      </c>
      <c r="E33" s="31">
        <f>Kostenarten!H24</f>
        <v/>
      </c>
      <c r="F33" s="35">
        <f>Kostenarten!K24</f>
        <v/>
      </c>
      <c r="G33" s="56">
        <f>IF(Objekt!$C$9="Ja",D33*Objekt!$C$10,0)</f>
        <v/>
      </c>
      <c r="H33" s="56">
        <f>D33+G33</f>
        <v/>
      </c>
    </row>
    <row r="34">
      <c r="B34" s="13" t="n">
        <v>20</v>
      </c>
      <c r="C34" s="13">
        <f>Kostenarten!C25</f>
        <v/>
      </c>
      <c r="D34" s="56">
        <f>Kostenarten!O25</f>
        <v/>
      </c>
      <c r="E34" s="31">
        <f>Kostenarten!H25</f>
        <v/>
      </c>
      <c r="F34" s="35">
        <f>Kostenarten!K25</f>
        <v/>
      </c>
      <c r="G34" s="56">
        <f>IF(Objekt!$C$9="Ja",D34*Objekt!$C$10,0)</f>
        <v/>
      </c>
      <c r="H34" s="56">
        <f>D34+G34</f>
        <v/>
      </c>
    </row>
    <row r="35">
      <c r="B35" s="13" t="n">
        <v>21</v>
      </c>
      <c r="C35" s="13">
        <f>Kostenarten!C26</f>
        <v/>
      </c>
      <c r="D35" s="56">
        <f>Kostenarten!O26</f>
        <v/>
      </c>
      <c r="E35" s="31">
        <f>Kostenarten!H26</f>
        <v/>
      </c>
      <c r="F35" s="35">
        <f>Kostenarten!K26</f>
        <v/>
      </c>
      <c r="G35" s="56">
        <f>IF(Objekt!$C$9="Ja",D35*Objekt!$C$10,0)</f>
        <v/>
      </c>
      <c r="H35" s="56">
        <f>D35+G35</f>
        <v/>
      </c>
    </row>
    <row r="36">
      <c r="B36" s="13" t="n">
        <v>22</v>
      </c>
      <c r="C36" s="13">
        <f>Kostenarten!C27</f>
        <v/>
      </c>
      <c r="D36" s="56">
        <f>Kostenarten!O27</f>
        <v/>
      </c>
      <c r="E36" s="31">
        <f>Kostenarten!H27</f>
        <v/>
      </c>
      <c r="F36" s="35">
        <f>Kostenarten!K27</f>
        <v/>
      </c>
      <c r="G36" s="56">
        <f>IF(Objekt!$C$9="Ja",D36*Objekt!$C$10,0)</f>
        <v/>
      </c>
      <c r="H36" s="56">
        <f>D36+G36</f>
        <v/>
      </c>
    </row>
    <row r="37">
      <c r="B37" s="13" t="n">
        <v>23</v>
      </c>
      <c r="C37" s="13">
        <f>Kostenarten!C28</f>
        <v/>
      </c>
      <c r="D37" s="56">
        <f>Kostenarten!O28</f>
        <v/>
      </c>
      <c r="E37" s="31">
        <f>Kostenarten!H28</f>
        <v/>
      </c>
      <c r="F37" s="35">
        <f>Kostenarten!K28</f>
        <v/>
      </c>
      <c r="G37" s="56">
        <f>IF(Objekt!$C$9="Ja",D37*Objekt!$C$10,0)</f>
        <v/>
      </c>
      <c r="H37" s="56">
        <f>D37+G37</f>
        <v/>
      </c>
    </row>
    <row r="38">
      <c r="C38" s="21" t="inlineStr">
        <is>
          <t>Zwischensumme</t>
        </is>
      </c>
      <c r="D38" s="57">
        <f>SUM(D15:D37)</f>
        <v/>
      </c>
      <c r="G38" s="57">
        <f>SUM(G15:G37)</f>
        <v/>
      </c>
      <c r="H38" s="57">
        <f>SUM(H15:H37)</f>
        <v/>
      </c>
    </row>
    <row r="40">
      <c r="B40" s="3" t="inlineStr">
        <is>
          <t>Ergebnis</t>
        </is>
      </c>
    </row>
    <row r="41">
      <c r="B41" s="27" t="inlineStr">
        <is>
          <t>Summe Anteil netto</t>
        </is>
      </c>
      <c r="C41" s="56">
        <f>D38</f>
        <v/>
      </c>
    </row>
    <row r="42">
      <c r="B42" s="27" t="inlineStr">
        <is>
          <t>zzgl. Umsatzsteuer</t>
        </is>
      </c>
      <c r="C42" s="56">
        <f>G38</f>
        <v/>
      </c>
    </row>
    <row r="43">
      <c r="B43" s="27" t="inlineStr">
        <is>
          <t>Summe brutto</t>
        </is>
      </c>
      <c r="C43" s="56">
        <f>H38</f>
        <v/>
      </c>
    </row>
    <row r="44">
      <c r="B44" s="27" t="inlineStr">
        <is>
          <t>abzgl. Vorauszahlungen brutto</t>
        </is>
      </c>
      <c r="C44" s="56">
        <f>Mieter!J8</f>
        <v/>
      </c>
    </row>
    <row r="45">
      <c r="B45" s="48" t="inlineStr">
        <is>
          <t>Nachzahlung / Guthaben (−)</t>
        </is>
      </c>
      <c r="C45" s="57">
        <f>C43-C44</f>
        <v/>
      </c>
    </row>
    <row r="47">
      <c r="B47" s="2" t="inlineStr">
        <is>
          <t>Positiv = Nachzahlung · Negativ = Guthaben</t>
        </is>
      </c>
    </row>
    <row r="49">
      <c r="B49" s="27" t="inlineStr">
        <is>
          <t>Erstellt am</t>
        </is>
      </c>
      <c r="C49" s="29" t="n">
        <v>46239</v>
      </c>
    </row>
    <row r="50">
      <c r="B50" s="27" t="inlineStr">
        <is>
          <t>Erstellt durch</t>
        </is>
      </c>
      <c r="C50" s="28" t="n"/>
    </row>
  </sheetData>
  <mergeCells count="3">
    <mergeCell ref="C7:E7"/>
    <mergeCell ref="C6:E6"/>
    <mergeCell ref="C5:E5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H50"/>
  <sheetViews>
    <sheetView showGridLines="0" workbookViewId="0">
      <pane xSplit="1" ySplit="14" topLeftCell="B1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4" customWidth="1" min="3" max="3"/>
    <col width="16" customWidth="1" min="4" max="4"/>
    <col width="12" customWidth="1" min="5" max="5"/>
    <col width="12" customWidth="1" min="6" max="6"/>
    <col width="16" customWidth="1" min="7" max="7"/>
    <col width="12" customWidth="1" min="8" max="8"/>
    <col width="14" customWidth="1" min="9" max="9"/>
  </cols>
  <sheetData>
    <row r="2">
      <c r="B2" s="51" t="inlineStr">
        <is>
          <t>Nebenkostenabrechnung Gewerbe – Mieter 4</t>
        </is>
      </c>
    </row>
    <row r="3">
      <c r="B3" s="2" t="inlineStr">
        <is>
          <t>Automatisch aus Objekt + Mieter + Kostenarten. Vor Versand prüfen.</t>
        </is>
      </c>
    </row>
    <row r="5">
      <c r="B5" s="27" t="inlineStr">
        <is>
          <t>Objekt</t>
        </is>
      </c>
      <c r="C5" s="31">
        <f>Objekt!C5</f>
        <v/>
      </c>
      <c r="D5" s="25" t="n"/>
      <c r="E5" s="26" t="n"/>
    </row>
    <row r="6">
      <c r="B6" s="27" t="inlineStr">
        <is>
          <t>Mieter</t>
        </is>
      </c>
      <c r="C6" s="31">
        <f>Mieter!C9</f>
        <v/>
      </c>
      <c r="D6" s="25" t="n"/>
      <c r="E6" s="26" t="n"/>
    </row>
    <row r="7">
      <c r="B7" s="27" t="inlineStr">
        <is>
          <t>Einheit</t>
        </is>
      </c>
      <c r="C7" s="31">
        <f>Mieter!D9</f>
        <v/>
      </c>
      <c r="D7" s="25" t="n"/>
      <c r="E7" s="26" t="n"/>
    </row>
    <row r="8">
      <c r="B8" s="27" t="inlineStr">
        <is>
          <t>Zeitraum von</t>
        </is>
      </c>
      <c r="C8" s="47">
        <f>Objekt!C7</f>
        <v/>
      </c>
    </row>
    <row r="9">
      <c r="B9" s="27" t="inlineStr">
        <is>
          <t>Zeitraum bis</t>
        </is>
      </c>
      <c r="C9" s="47">
        <f>Objekt!C8</f>
        <v/>
      </c>
    </row>
    <row r="10">
      <c r="B10" s="27" t="inlineStr">
        <is>
          <t>Fläche m²</t>
        </is>
      </c>
      <c r="C10" s="32">
        <f>Mieter!E9</f>
        <v/>
      </c>
    </row>
    <row r="11">
      <c r="B11" s="27" t="inlineStr">
        <is>
          <t>Flächenanteil</t>
        </is>
      </c>
      <c r="C11" s="35">
        <f>Mieter!F9</f>
        <v/>
      </c>
    </row>
    <row r="12">
      <c r="B12" s="27" t="inlineStr">
        <is>
          <t>USt-Option</t>
        </is>
      </c>
      <c r="C12" s="31">
        <f>Objekt!C9</f>
        <v/>
      </c>
    </row>
    <row r="14">
      <c r="B14" s="11" t="inlineStr">
        <is>
          <t>Nr</t>
        </is>
      </c>
      <c r="C14" s="11" t="inlineStr">
        <is>
          <t>Kostenart</t>
        </is>
      </c>
      <c r="D14" s="11" t="inlineStr">
        <is>
          <t>Anteil Mieter netto €</t>
        </is>
      </c>
      <c r="E14" s="11" t="inlineStr">
        <is>
          <t>Schlüssel</t>
        </is>
      </c>
      <c r="F14" s="11" t="inlineStr">
        <is>
          <t>Anteil %</t>
        </is>
      </c>
      <c r="G14" s="11" t="inlineStr">
        <is>
          <t>USt €</t>
        </is>
      </c>
      <c r="H14" s="11" t="inlineStr">
        <is>
          <t>Brutto €</t>
        </is>
      </c>
    </row>
    <row r="15">
      <c r="B15" s="13" t="n">
        <v>1</v>
      </c>
      <c r="C15" s="13">
        <f>Kostenarten!C6</f>
        <v/>
      </c>
      <c r="D15" s="56">
        <f>Kostenarten!P6</f>
        <v/>
      </c>
      <c r="E15" s="31">
        <f>Kostenarten!H6</f>
        <v/>
      </c>
      <c r="F15" s="35">
        <f>Kostenarten!L6</f>
        <v/>
      </c>
      <c r="G15" s="56">
        <f>IF(Objekt!$C$9="Ja",D15*Objekt!$C$10,0)</f>
        <v/>
      </c>
      <c r="H15" s="56">
        <f>D15+G15</f>
        <v/>
      </c>
    </row>
    <row r="16">
      <c r="B16" s="13" t="n">
        <v>2</v>
      </c>
      <c r="C16" s="13">
        <f>Kostenarten!C7</f>
        <v/>
      </c>
      <c r="D16" s="56">
        <f>Kostenarten!P7</f>
        <v/>
      </c>
      <c r="E16" s="31">
        <f>Kostenarten!H7</f>
        <v/>
      </c>
      <c r="F16" s="35">
        <f>Kostenarten!L7</f>
        <v/>
      </c>
      <c r="G16" s="56">
        <f>IF(Objekt!$C$9="Ja",D16*Objekt!$C$10,0)</f>
        <v/>
      </c>
      <c r="H16" s="56">
        <f>D16+G16</f>
        <v/>
      </c>
    </row>
    <row r="17">
      <c r="B17" s="13" t="n">
        <v>3</v>
      </c>
      <c r="C17" s="13">
        <f>Kostenarten!C8</f>
        <v/>
      </c>
      <c r="D17" s="56">
        <f>Kostenarten!P8</f>
        <v/>
      </c>
      <c r="E17" s="31">
        <f>Kostenarten!H8</f>
        <v/>
      </c>
      <c r="F17" s="35">
        <f>Kostenarten!L8</f>
        <v/>
      </c>
      <c r="G17" s="56">
        <f>IF(Objekt!$C$9="Ja",D17*Objekt!$C$10,0)</f>
        <v/>
      </c>
      <c r="H17" s="56">
        <f>D17+G17</f>
        <v/>
      </c>
    </row>
    <row r="18">
      <c r="B18" s="13" t="n">
        <v>4</v>
      </c>
      <c r="C18" s="13">
        <f>Kostenarten!C9</f>
        <v/>
      </c>
      <c r="D18" s="56">
        <f>Kostenarten!P9</f>
        <v/>
      </c>
      <c r="E18" s="31">
        <f>Kostenarten!H9</f>
        <v/>
      </c>
      <c r="F18" s="35">
        <f>Kostenarten!L9</f>
        <v/>
      </c>
      <c r="G18" s="56">
        <f>IF(Objekt!$C$9="Ja",D18*Objekt!$C$10,0)</f>
        <v/>
      </c>
      <c r="H18" s="56">
        <f>D18+G18</f>
        <v/>
      </c>
    </row>
    <row r="19">
      <c r="B19" s="13" t="n">
        <v>5</v>
      </c>
      <c r="C19" s="13">
        <f>Kostenarten!C10</f>
        <v/>
      </c>
      <c r="D19" s="56">
        <f>Kostenarten!P10</f>
        <v/>
      </c>
      <c r="E19" s="31">
        <f>Kostenarten!H10</f>
        <v/>
      </c>
      <c r="F19" s="35">
        <f>Kostenarten!L10</f>
        <v/>
      </c>
      <c r="G19" s="56">
        <f>IF(Objekt!$C$9="Ja",D19*Objekt!$C$10,0)</f>
        <v/>
      </c>
      <c r="H19" s="56">
        <f>D19+G19</f>
        <v/>
      </c>
    </row>
    <row r="20">
      <c r="B20" s="13" t="n">
        <v>6</v>
      </c>
      <c r="C20" s="13">
        <f>Kostenarten!C11</f>
        <v/>
      </c>
      <c r="D20" s="56">
        <f>Kostenarten!P11</f>
        <v/>
      </c>
      <c r="E20" s="31">
        <f>Kostenarten!H11</f>
        <v/>
      </c>
      <c r="F20" s="35">
        <f>Kostenarten!L11</f>
        <v/>
      </c>
      <c r="G20" s="56">
        <f>IF(Objekt!$C$9="Ja",D20*Objekt!$C$10,0)</f>
        <v/>
      </c>
      <c r="H20" s="56">
        <f>D20+G20</f>
        <v/>
      </c>
    </row>
    <row r="21">
      <c r="B21" s="13" t="n">
        <v>7</v>
      </c>
      <c r="C21" s="13">
        <f>Kostenarten!C12</f>
        <v/>
      </c>
      <c r="D21" s="56">
        <f>Kostenarten!P12</f>
        <v/>
      </c>
      <c r="E21" s="31">
        <f>Kostenarten!H12</f>
        <v/>
      </c>
      <c r="F21" s="35">
        <f>Kostenarten!L12</f>
        <v/>
      </c>
      <c r="G21" s="56">
        <f>IF(Objekt!$C$9="Ja",D21*Objekt!$C$10,0)</f>
        <v/>
      </c>
      <c r="H21" s="56">
        <f>D21+G21</f>
        <v/>
      </c>
    </row>
    <row r="22">
      <c r="B22" s="13" t="n">
        <v>8</v>
      </c>
      <c r="C22" s="13">
        <f>Kostenarten!C13</f>
        <v/>
      </c>
      <c r="D22" s="56">
        <f>Kostenarten!P13</f>
        <v/>
      </c>
      <c r="E22" s="31">
        <f>Kostenarten!H13</f>
        <v/>
      </c>
      <c r="F22" s="35">
        <f>Kostenarten!L13</f>
        <v/>
      </c>
      <c r="G22" s="56">
        <f>IF(Objekt!$C$9="Ja",D22*Objekt!$C$10,0)</f>
        <v/>
      </c>
      <c r="H22" s="56">
        <f>D22+G22</f>
        <v/>
      </c>
    </row>
    <row r="23">
      <c r="B23" s="13" t="n">
        <v>9</v>
      </c>
      <c r="C23" s="13">
        <f>Kostenarten!C14</f>
        <v/>
      </c>
      <c r="D23" s="56">
        <f>Kostenarten!P14</f>
        <v/>
      </c>
      <c r="E23" s="31">
        <f>Kostenarten!H14</f>
        <v/>
      </c>
      <c r="F23" s="35">
        <f>Kostenarten!L14</f>
        <v/>
      </c>
      <c r="G23" s="56">
        <f>IF(Objekt!$C$9="Ja",D23*Objekt!$C$10,0)</f>
        <v/>
      </c>
      <c r="H23" s="56">
        <f>D23+G23</f>
        <v/>
      </c>
    </row>
    <row r="24">
      <c r="B24" s="13" t="n">
        <v>10</v>
      </c>
      <c r="C24" s="13">
        <f>Kostenarten!C15</f>
        <v/>
      </c>
      <c r="D24" s="56">
        <f>Kostenarten!P15</f>
        <v/>
      </c>
      <c r="E24" s="31">
        <f>Kostenarten!H15</f>
        <v/>
      </c>
      <c r="F24" s="35">
        <f>Kostenarten!L15</f>
        <v/>
      </c>
      <c r="G24" s="56">
        <f>IF(Objekt!$C$9="Ja",D24*Objekt!$C$10,0)</f>
        <v/>
      </c>
      <c r="H24" s="56">
        <f>D24+G24</f>
        <v/>
      </c>
    </row>
    <row r="25">
      <c r="B25" s="13" t="n">
        <v>11</v>
      </c>
      <c r="C25" s="13">
        <f>Kostenarten!C16</f>
        <v/>
      </c>
      <c r="D25" s="56">
        <f>Kostenarten!P16</f>
        <v/>
      </c>
      <c r="E25" s="31">
        <f>Kostenarten!H16</f>
        <v/>
      </c>
      <c r="F25" s="35">
        <f>Kostenarten!L16</f>
        <v/>
      </c>
      <c r="G25" s="56">
        <f>IF(Objekt!$C$9="Ja",D25*Objekt!$C$10,0)</f>
        <v/>
      </c>
      <c r="H25" s="56">
        <f>D25+G25</f>
        <v/>
      </c>
    </row>
    <row r="26">
      <c r="B26" s="13" t="n">
        <v>12</v>
      </c>
      <c r="C26" s="13">
        <f>Kostenarten!C17</f>
        <v/>
      </c>
      <c r="D26" s="56">
        <f>Kostenarten!P17</f>
        <v/>
      </c>
      <c r="E26" s="31">
        <f>Kostenarten!H17</f>
        <v/>
      </c>
      <c r="F26" s="35">
        <f>Kostenarten!L17</f>
        <v/>
      </c>
      <c r="G26" s="56">
        <f>IF(Objekt!$C$9="Ja",D26*Objekt!$C$10,0)</f>
        <v/>
      </c>
      <c r="H26" s="56">
        <f>D26+G26</f>
        <v/>
      </c>
    </row>
    <row r="27">
      <c r="B27" s="13" t="n">
        <v>13</v>
      </c>
      <c r="C27" s="13">
        <f>Kostenarten!C18</f>
        <v/>
      </c>
      <c r="D27" s="56">
        <f>Kostenarten!P18</f>
        <v/>
      </c>
      <c r="E27" s="31">
        <f>Kostenarten!H18</f>
        <v/>
      </c>
      <c r="F27" s="35">
        <f>Kostenarten!L18</f>
        <v/>
      </c>
      <c r="G27" s="56">
        <f>IF(Objekt!$C$9="Ja",D27*Objekt!$C$10,0)</f>
        <v/>
      </c>
      <c r="H27" s="56">
        <f>D27+G27</f>
        <v/>
      </c>
    </row>
    <row r="28">
      <c r="B28" s="13" t="n">
        <v>14</v>
      </c>
      <c r="C28" s="13">
        <f>Kostenarten!C19</f>
        <v/>
      </c>
      <c r="D28" s="56">
        <f>Kostenarten!P19</f>
        <v/>
      </c>
      <c r="E28" s="31">
        <f>Kostenarten!H19</f>
        <v/>
      </c>
      <c r="F28" s="35">
        <f>Kostenarten!L19</f>
        <v/>
      </c>
      <c r="G28" s="56">
        <f>IF(Objekt!$C$9="Ja",D28*Objekt!$C$10,0)</f>
        <v/>
      </c>
      <c r="H28" s="56">
        <f>D28+G28</f>
        <v/>
      </c>
    </row>
    <row r="29">
      <c r="B29" s="13" t="n">
        <v>15</v>
      </c>
      <c r="C29" s="13">
        <f>Kostenarten!C20</f>
        <v/>
      </c>
      <c r="D29" s="56">
        <f>Kostenarten!P20</f>
        <v/>
      </c>
      <c r="E29" s="31">
        <f>Kostenarten!H20</f>
        <v/>
      </c>
      <c r="F29" s="35">
        <f>Kostenarten!L20</f>
        <v/>
      </c>
      <c r="G29" s="56">
        <f>IF(Objekt!$C$9="Ja",D29*Objekt!$C$10,0)</f>
        <v/>
      </c>
      <c r="H29" s="56">
        <f>D29+G29</f>
        <v/>
      </c>
    </row>
    <row r="30">
      <c r="B30" s="13" t="n">
        <v>16</v>
      </c>
      <c r="C30" s="13">
        <f>Kostenarten!C21</f>
        <v/>
      </c>
      <c r="D30" s="56">
        <f>Kostenarten!P21</f>
        <v/>
      </c>
      <c r="E30" s="31">
        <f>Kostenarten!H21</f>
        <v/>
      </c>
      <c r="F30" s="35">
        <f>Kostenarten!L21</f>
        <v/>
      </c>
      <c r="G30" s="56">
        <f>IF(Objekt!$C$9="Ja",D30*Objekt!$C$10,0)</f>
        <v/>
      </c>
      <c r="H30" s="56">
        <f>D30+G30</f>
        <v/>
      </c>
    </row>
    <row r="31">
      <c r="B31" s="13" t="n">
        <v>17</v>
      </c>
      <c r="C31" s="13">
        <f>Kostenarten!C22</f>
        <v/>
      </c>
      <c r="D31" s="56">
        <f>Kostenarten!P22</f>
        <v/>
      </c>
      <c r="E31" s="31">
        <f>Kostenarten!H22</f>
        <v/>
      </c>
      <c r="F31" s="35">
        <f>Kostenarten!L22</f>
        <v/>
      </c>
      <c r="G31" s="56">
        <f>IF(Objekt!$C$9="Ja",D31*Objekt!$C$10,0)</f>
        <v/>
      </c>
      <c r="H31" s="56">
        <f>D31+G31</f>
        <v/>
      </c>
    </row>
    <row r="32">
      <c r="B32" s="13" t="n">
        <v>18</v>
      </c>
      <c r="C32" s="13">
        <f>Kostenarten!C23</f>
        <v/>
      </c>
      <c r="D32" s="56">
        <f>Kostenarten!P23</f>
        <v/>
      </c>
      <c r="E32" s="31">
        <f>Kostenarten!H23</f>
        <v/>
      </c>
      <c r="F32" s="35">
        <f>Kostenarten!L23</f>
        <v/>
      </c>
      <c r="G32" s="56">
        <f>IF(Objekt!$C$9="Ja",D32*Objekt!$C$10,0)</f>
        <v/>
      </c>
      <c r="H32" s="56">
        <f>D32+G32</f>
        <v/>
      </c>
    </row>
    <row r="33">
      <c r="B33" s="13" t="n">
        <v>19</v>
      </c>
      <c r="C33" s="13">
        <f>Kostenarten!C24</f>
        <v/>
      </c>
      <c r="D33" s="56">
        <f>Kostenarten!P24</f>
        <v/>
      </c>
      <c r="E33" s="31">
        <f>Kostenarten!H24</f>
        <v/>
      </c>
      <c r="F33" s="35">
        <f>Kostenarten!L24</f>
        <v/>
      </c>
      <c r="G33" s="56">
        <f>IF(Objekt!$C$9="Ja",D33*Objekt!$C$10,0)</f>
        <v/>
      </c>
      <c r="H33" s="56">
        <f>D33+G33</f>
        <v/>
      </c>
    </row>
    <row r="34">
      <c r="B34" s="13" t="n">
        <v>20</v>
      </c>
      <c r="C34" s="13">
        <f>Kostenarten!C25</f>
        <v/>
      </c>
      <c r="D34" s="56">
        <f>Kostenarten!P25</f>
        <v/>
      </c>
      <c r="E34" s="31">
        <f>Kostenarten!H25</f>
        <v/>
      </c>
      <c r="F34" s="35">
        <f>Kostenarten!L25</f>
        <v/>
      </c>
      <c r="G34" s="56">
        <f>IF(Objekt!$C$9="Ja",D34*Objekt!$C$10,0)</f>
        <v/>
      </c>
      <c r="H34" s="56">
        <f>D34+G34</f>
        <v/>
      </c>
    </row>
    <row r="35">
      <c r="B35" s="13" t="n">
        <v>21</v>
      </c>
      <c r="C35" s="13">
        <f>Kostenarten!C26</f>
        <v/>
      </c>
      <c r="D35" s="56">
        <f>Kostenarten!P26</f>
        <v/>
      </c>
      <c r="E35" s="31">
        <f>Kostenarten!H26</f>
        <v/>
      </c>
      <c r="F35" s="35">
        <f>Kostenarten!L26</f>
        <v/>
      </c>
      <c r="G35" s="56">
        <f>IF(Objekt!$C$9="Ja",D35*Objekt!$C$10,0)</f>
        <v/>
      </c>
      <c r="H35" s="56">
        <f>D35+G35</f>
        <v/>
      </c>
    </row>
    <row r="36">
      <c r="B36" s="13" t="n">
        <v>22</v>
      </c>
      <c r="C36" s="13">
        <f>Kostenarten!C27</f>
        <v/>
      </c>
      <c r="D36" s="56">
        <f>Kostenarten!P27</f>
        <v/>
      </c>
      <c r="E36" s="31">
        <f>Kostenarten!H27</f>
        <v/>
      </c>
      <c r="F36" s="35">
        <f>Kostenarten!L27</f>
        <v/>
      </c>
      <c r="G36" s="56">
        <f>IF(Objekt!$C$9="Ja",D36*Objekt!$C$10,0)</f>
        <v/>
      </c>
      <c r="H36" s="56">
        <f>D36+G36</f>
        <v/>
      </c>
    </row>
    <row r="37">
      <c r="B37" s="13" t="n">
        <v>23</v>
      </c>
      <c r="C37" s="13">
        <f>Kostenarten!C28</f>
        <v/>
      </c>
      <c r="D37" s="56">
        <f>Kostenarten!P28</f>
        <v/>
      </c>
      <c r="E37" s="31">
        <f>Kostenarten!H28</f>
        <v/>
      </c>
      <c r="F37" s="35">
        <f>Kostenarten!L28</f>
        <v/>
      </c>
      <c r="G37" s="56">
        <f>IF(Objekt!$C$9="Ja",D37*Objekt!$C$10,0)</f>
        <v/>
      </c>
      <c r="H37" s="56">
        <f>D37+G37</f>
        <v/>
      </c>
    </row>
    <row r="38">
      <c r="C38" s="21" t="inlineStr">
        <is>
          <t>Zwischensumme</t>
        </is>
      </c>
      <c r="D38" s="57">
        <f>SUM(D15:D37)</f>
        <v/>
      </c>
      <c r="G38" s="57">
        <f>SUM(G15:G37)</f>
        <v/>
      </c>
      <c r="H38" s="57">
        <f>SUM(H15:H37)</f>
        <v/>
      </c>
    </row>
    <row r="40">
      <c r="B40" s="3" t="inlineStr">
        <is>
          <t>Ergebnis</t>
        </is>
      </c>
    </row>
    <row r="41">
      <c r="B41" s="27" t="inlineStr">
        <is>
          <t>Summe Anteil netto</t>
        </is>
      </c>
      <c r="C41" s="56">
        <f>D38</f>
        <v/>
      </c>
    </row>
    <row r="42">
      <c r="B42" s="27" t="inlineStr">
        <is>
          <t>zzgl. Umsatzsteuer</t>
        </is>
      </c>
      <c r="C42" s="56">
        <f>G38</f>
        <v/>
      </c>
    </row>
    <row r="43">
      <c r="B43" s="27" t="inlineStr">
        <is>
          <t>Summe brutto</t>
        </is>
      </c>
      <c r="C43" s="56">
        <f>H38</f>
        <v/>
      </c>
    </row>
    <row r="44">
      <c r="B44" s="27" t="inlineStr">
        <is>
          <t>abzgl. Vorauszahlungen brutto</t>
        </is>
      </c>
      <c r="C44" s="56">
        <f>Mieter!J9</f>
        <v/>
      </c>
    </row>
    <row r="45">
      <c r="B45" s="48" t="inlineStr">
        <is>
          <t>Nachzahlung / Guthaben (−)</t>
        </is>
      </c>
      <c r="C45" s="57">
        <f>C43-C44</f>
        <v/>
      </c>
    </row>
    <row r="47">
      <c r="B47" s="2" t="inlineStr">
        <is>
          <t>Positiv = Nachzahlung · Negativ = Guthaben</t>
        </is>
      </c>
    </row>
    <row r="49">
      <c r="B49" s="27" t="inlineStr">
        <is>
          <t>Erstellt am</t>
        </is>
      </c>
      <c r="C49" s="29" t="n">
        <v>46239</v>
      </c>
    </row>
    <row r="50">
      <c r="B50" s="27" t="inlineStr">
        <is>
          <t>Erstellt durch</t>
        </is>
      </c>
      <c r="C50" s="28" t="n"/>
    </row>
  </sheetData>
  <mergeCells count="3">
    <mergeCell ref="C7:E7"/>
    <mergeCell ref="C6:E6"/>
    <mergeCell ref="C5:E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2026-08-05T12:00:05Z</dcterms:created>
  <dcterms:modified xsi:type="dcterms:W3CDTF">2026-08-05T12:05:08Z</dcterms:modified>
</cp:coreProperties>
</file>