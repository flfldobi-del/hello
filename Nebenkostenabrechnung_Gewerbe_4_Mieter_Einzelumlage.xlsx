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leitung" sheetId="1" state="visible" r:id="rId1"/>
    <sheet name="Uebersicht" sheetId="2" state="visible" r:id="rId2"/>
    <sheet name="Objekt" sheetId="3" state="visible" r:id="rId3"/>
    <sheet name="Mieter" sheetId="4" state="visible" r:id="rId4"/>
    <sheet name="Vertrags-Matrix" sheetId="5" state="visible" r:id="rId5"/>
    <sheet name="Kostenarten" sheetId="6" state="visible" r:id="rId6"/>
    <sheet name="Abr_Mieter1" sheetId="7" state="visible" r:id="rId7"/>
    <sheet name="Abr_Mieter2" sheetId="8" state="visible" r:id="rId8"/>
    <sheet name="Abr_Mieter3" sheetId="9" state="visible" r:id="rId9"/>
    <sheet name="Abr_Mieter4" sheetId="10" state="visible" r:id="rId10"/>
  </sheets>
  <definedNames>
    <definedName name="_xlnm._FilterDatabase" localSheetId="5" hidden="1">'Kostenarten'!$B$5:$R$36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0 €"/>
    <numFmt numFmtId="165" formatCode="DD.MM.YYYY"/>
    <numFmt numFmtId="166" formatCode="yyyy-mm-dd"/>
  </numFmts>
  <fonts count="13">
    <font>
      <name val="Calibri"/>
      <family val="2"/>
      <color theme="1"/>
      <sz val="11"/>
      <scheme val="minor"/>
    </font>
    <font>
      <name val="Calibri"/>
      <b val="1"/>
      <color rgb="001F4E79"/>
      <sz val="16"/>
    </font>
    <font>
      <name val="Calibri"/>
      <color rgb="00475467"/>
      <sz val="10"/>
    </font>
    <font>
      <name val="Calibri"/>
      <b val="1"/>
      <color rgb="001F4E79"/>
      <sz val="12"/>
    </font>
    <font>
      <name val="Calibri"/>
      <sz val="10"/>
    </font>
    <font>
      <name val="Calibri"/>
      <b val="1"/>
      <color rgb="00344054"/>
      <sz val="10"/>
    </font>
    <font>
      <name val="Calibri"/>
      <b val="1"/>
      <color rgb="00FFFFFF"/>
      <sz val="11"/>
    </font>
    <font>
      <name val="Calibri"/>
      <b val="1"/>
      <color rgb="001F4E79"/>
      <sz val="11"/>
    </font>
    <font>
      <name val="Calibri"/>
      <b val="1"/>
      <color rgb="00C00000"/>
      <sz val="18"/>
    </font>
    <font>
      <name val="Calibri"/>
      <color rgb="00548235"/>
      <sz val="11"/>
    </font>
    <font>
      <name val="Calibri"/>
      <b val="1"/>
      <color rgb="00C00000"/>
      <sz val="14"/>
    </font>
    <font/>
    <font>
      <name val="Calibri"/>
      <b val="1"/>
      <color rgb="00C00000"/>
      <sz val="16"/>
    </font>
  </fonts>
  <fills count="19">
    <fill>
      <patternFill/>
    </fill>
    <fill>
      <patternFill patternType="gray125"/>
    </fill>
    <fill>
      <patternFill patternType="solid">
        <fgColor rgb="00E8F1F8"/>
      </patternFill>
    </fill>
    <fill>
      <patternFill patternType="solid">
        <fgColor rgb="00FFF8E7"/>
      </patternFill>
    </fill>
    <fill>
      <patternFill patternType="solid">
        <fgColor rgb="00F2F4F7"/>
      </patternFill>
    </fill>
    <fill>
      <patternFill patternType="solid">
        <fgColor rgb="00DEEBF7"/>
      </patternFill>
    </fill>
    <fill>
      <patternFill patternType="solid">
        <fgColor rgb="00E2F0D9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1F4E79"/>
      </patternFill>
    </fill>
    <fill>
      <patternFill patternType="solid">
        <fgColor rgb="00D0E4F5"/>
      </patternFill>
    </fill>
    <fill>
      <patternFill patternType="solid">
        <fgColor rgb="002E75B6"/>
      </patternFill>
    </fill>
    <fill>
      <patternFill patternType="solid">
        <fgColor rgb="00548235"/>
      </patternFill>
    </fill>
    <fill>
      <patternFill patternType="solid">
        <fgColor rgb="00BF8F00"/>
      </patternFill>
    </fill>
    <fill>
      <patternFill patternType="solid">
        <fgColor rgb="00C65911"/>
      </patternFill>
    </fill>
    <fill>
      <patternFill patternType="solid">
        <fgColor rgb="00D1FADF"/>
      </patternFill>
    </fill>
    <fill>
      <patternFill patternType="solid">
        <fgColor rgb="00FEE4E2"/>
      </patternFill>
    </fill>
    <fill>
      <patternFill patternType="solid">
        <fgColor rgb="00F4E6FF"/>
      </patternFill>
    </fill>
    <fill>
      <patternFill patternType="solid">
        <fgColor rgb="007030A0"/>
      </patternFill>
    </fill>
  </fills>
  <borders count="7">
    <border>
      <left/>
      <right/>
      <top/>
      <bottom/>
      <diagonal/>
    </border>
    <border>
      <left style="thin">
        <color rgb="00D0D5DD"/>
      </left>
      <right style="thin">
        <color rgb="00D0D5DD"/>
      </right>
      <top style="thin">
        <color rgb="00D0D5DD"/>
      </top>
      <bottom style="thin">
        <color rgb="00D0D5DD"/>
      </bottom>
    </border>
    <border>
      <left/>
      <right/>
      <top style="thin">
        <color rgb="00D0D5DD"/>
      </top>
      <bottom/>
      <diagonal/>
    </border>
    <border>
      <left/>
      <right style="thin">
        <color rgb="00D0D5DD"/>
      </right>
      <top style="thin">
        <color rgb="00D0D5DD"/>
      </top>
      <bottom/>
      <diagonal/>
    </border>
    <border>
      <left/>
      <right/>
      <top style="thin">
        <color rgb="00D0D5DD"/>
      </top>
      <bottom style="thin">
        <color rgb="00D0D5DD"/>
      </bottom>
      <diagonal/>
    </border>
    <border>
      <left/>
      <right style="thin">
        <color rgb="00D0D5DD"/>
      </right>
      <top style="thin">
        <color rgb="00D0D5DD"/>
      </top>
      <bottom style="thin">
        <color rgb="00D0D5DD"/>
      </bottom>
      <diagonal/>
    </border>
    <border/>
  </borders>
  <cellStyleXfs count="1">
    <xf numFmtId="0" fontId="0" fillId="0" borderId="0"/>
  </cellStyleXfs>
  <cellXfs count="8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0" applyAlignment="1" pivotButton="0" quotePrefix="0" xfId="0">
      <alignment vertical="center" wrapText="1"/>
    </xf>
    <xf numFmtId="0" fontId="4" fillId="3" borderId="0" applyAlignment="1" pivotButton="0" quotePrefix="0" xfId="0">
      <alignment vertical="center" wrapText="1"/>
    </xf>
    <xf numFmtId="0" fontId="0" fillId="4" borderId="0" pivotButton="0" quotePrefix="0" xfId="0"/>
    <xf numFmtId="0" fontId="3" fillId="5" borderId="0" pivotButton="0" quotePrefix="0" xfId="0"/>
    <xf numFmtId="0" fontId="4" fillId="6" borderId="0" applyAlignment="1" pivotButton="0" quotePrefix="0" xfId="0">
      <alignment vertical="center" wrapText="1"/>
    </xf>
    <xf numFmtId="0" fontId="0" fillId="7" borderId="0" pivotButton="0" quotePrefix="0" xfId="0"/>
    <xf numFmtId="0" fontId="0" fillId="8" borderId="0" pivotButton="0" quotePrefix="0" xfId="0"/>
    <xf numFmtId="0" fontId="6" fillId="9" borderId="1" applyAlignment="1" pivotButton="0" quotePrefix="0" xfId="0">
      <alignment horizontal="center" vertical="center" wrapText="1"/>
    </xf>
    <xf numFmtId="0" fontId="0" fillId="5" borderId="1" pivotButton="0" quotePrefix="0" xfId="0"/>
    <xf numFmtId="0" fontId="0" fillId="0" borderId="1" pivotButton="0" quotePrefix="0" xfId="0"/>
    <xf numFmtId="2" fontId="0" fillId="0" borderId="1" pivotButton="0" quotePrefix="0" xfId="0"/>
    <xf numFmtId="10" fontId="0" fillId="0" borderId="1" pivotButton="0" quotePrefix="0" xfId="0"/>
    <xf numFmtId="164" fontId="0" fillId="4" borderId="1" pivotButton="0" quotePrefix="0" xfId="0"/>
    <xf numFmtId="164" fontId="7" fillId="10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7" fillId="10" borderId="0" pivotButton="0" quotePrefix="0" xfId="0"/>
    <xf numFmtId="2" fontId="7" fillId="10" borderId="1" pivotButton="0" quotePrefix="0" xfId="0"/>
    <xf numFmtId="10" fontId="7" fillId="10" borderId="1" pivotButton="0" quotePrefix="0" xfId="0"/>
    <xf numFmtId="0" fontId="0" fillId="3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5" fillId="0" borderId="0" pivotButton="0" quotePrefix="0" xfId="0"/>
    <xf numFmtId="0" fontId="0" fillId="3" borderId="1" pivotButton="0" quotePrefix="0" xfId="0"/>
    <xf numFmtId="165" fontId="0" fillId="3" borderId="1" pivotButton="0" quotePrefix="0" xfId="0"/>
    <xf numFmtId="10" fontId="0" fillId="3" borderId="1" pivotButton="0" quotePrefix="0" xfId="0"/>
    <xf numFmtId="0" fontId="0" fillId="4" borderId="1" pivotButton="0" quotePrefix="0" xfId="0"/>
    <xf numFmtId="2" fontId="0" fillId="4" borderId="1" pivotButton="0" quotePrefix="0" xfId="0"/>
    <xf numFmtId="0" fontId="0" fillId="5" borderId="1" applyAlignment="1" pivotButton="0" quotePrefix="0" xfId="0">
      <alignment horizontal="center" vertical="center" wrapText="1"/>
    </xf>
    <xf numFmtId="2" fontId="0" fillId="3" borderId="1" pivotButton="0" quotePrefix="0" xfId="0"/>
    <xf numFmtId="10" fontId="0" fillId="4" borderId="1" pivotButton="0" quotePrefix="0" xfId="0"/>
    <xf numFmtId="164" fontId="0" fillId="3" borderId="1" pivotButton="0" quotePrefix="0" xfId="0"/>
    <xf numFmtId="0" fontId="0" fillId="6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6" fillId="11" borderId="1" applyAlignment="1" pivotButton="0" quotePrefix="0" xfId="0">
      <alignment horizontal="center" vertical="center" wrapText="1"/>
    </xf>
    <xf numFmtId="0" fontId="6" fillId="12" borderId="1" applyAlignment="1" pivotButton="0" quotePrefix="0" xfId="0">
      <alignment horizontal="center" vertical="center" wrapText="1"/>
    </xf>
    <xf numFmtId="0" fontId="6" fillId="13" borderId="1" applyAlignment="1" pivotButton="0" quotePrefix="0" xfId="0">
      <alignment horizontal="center" vertical="center" wrapText="1"/>
    </xf>
    <xf numFmtId="0" fontId="6" fillId="14" borderId="1" applyAlignment="1" pivotButton="0" quotePrefix="0" xfId="0">
      <alignment horizontal="center" vertical="center" wrapText="1"/>
    </xf>
    <xf numFmtId="0" fontId="0" fillId="15" borderId="1" applyAlignment="1" pivotButton="0" quotePrefix="0" xfId="0">
      <alignment horizontal="center" vertical="center" wrapText="1"/>
    </xf>
    <xf numFmtId="0" fontId="0" fillId="16" borderId="1" applyAlignment="1" pivotButton="0" quotePrefix="0" xfId="0">
      <alignment horizontal="center" vertical="center" wrapText="1"/>
    </xf>
    <xf numFmtId="0" fontId="1" fillId="5" borderId="0" pivotButton="0" quotePrefix="0" xfId="0"/>
    <xf numFmtId="165" fontId="0" fillId="4" borderId="1" pivotButton="0" quotePrefix="0" xfId="0"/>
    <xf numFmtId="0" fontId="7" fillId="0" borderId="0" pivotButton="0" quotePrefix="0" xfId="0"/>
    <xf numFmtId="0" fontId="1" fillId="6" borderId="0" pivotButton="0" quotePrefix="0" xfId="0"/>
    <xf numFmtId="0" fontId="1" fillId="7" borderId="0" pivotButton="0" quotePrefix="0" xfId="0"/>
    <xf numFmtId="0" fontId="1" fillId="8" borderId="0" pivotButton="0" quotePrefix="0" xfId="0"/>
    <xf numFmtId="0" fontId="8" fillId="0" borderId="0" pivotButton="0" quotePrefix="0" xfId="0"/>
    <xf numFmtId="0" fontId="3" fillId="0" borderId="0" pivotButton="0" quotePrefix="0" xfId="0"/>
    <xf numFmtId="0" fontId="9" fillId="0" borderId="0" pivotButton="0" quotePrefix="0" xfId="0"/>
    <xf numFmtId="0" fontId="10" fillId="7" borderId="0" pivotButton="0" quotePrefix="0" xfId="0"/>
    <xf numFmtId="164" fontId="0" fillId="4" borderId="1" pivotButton="0" quotePrefix="0" xfId="0"/>
    <xf numFmtId="164" fontId="7" fillId="10" borderId="1" pivotButton="0" quotePrefix="0" xfId="0"/>
    <xf numFmtId="164" fontId="0" fillId="3" borderId="1" pivotButton="0" quotePrefix="0" xfId="0"/>
    <xf numFmtId="0" fontId="4" fillId="0" borderId="0" applyAlignment="1" pivotButton="0" quotePrefix="0" xfId="0">
      <alignment wrapText="1"/>
    </xf>
    <xf numFmtId="0" fontId="0" fillId="17" borderId="0" pivotButton="0" quotePrefix="0" xfId="0"/>
    <xf numFmtId="0" fontId="0" fillId="17" borderId="1" pivotButton="0" quotePrefix="0" xfId="0"/>
    <xf numFmtId="0" fontId="6" fillId="18" borderId="1" applyAlignment="1" pivotButton="0" quotePrefix="0" xfId="0">
      <alignment horizontal="center" vertical="center" wrapText="1"/>
    </xf>
    <xf numFmtId="0" fontId="0" fillId="17" borderId="1" applyAlignment="1" pivotButton="0" quotePrefix="0" xfId="0">
      <alignment horizontal="center" vertical="center" wrapText="1"/>
    </xf>
    <xf numFmtId="0" fontId="11" fillId="0" borderId="6" pivotButton="0" quotePrefix="0" xfId="0"/>
    <xf numFmtId="0" fontId="11" fillId="0" borderId="1" pivotButton="0" quotePrefix="0" xfId="0"/>
    <xf numFmtId="164" fontId="11" fillId="4" borderId="1" pivotButton="0" quotePrefix="0" xfId="0"/>
    <xf numFmtId="0" fontId="11" fillId="4" borderId="1" pivotButton="0" quotePrefix="0" xfId="0"/>
    <xf numFmtId="10" fontId="11" fillId="4" borderId="1" pivotButton="0" quotePrefix="0" xfId="0"/>
    <xf numFmtId="164" fontId="11" fillId="0" borderId="1" pivotButton="0" quotePrefix="0" xfId="0"/>
    <xf numFmtId="165" fontId="7" fillId="10" borderId="6" pivotButton="0" quotePrefix="0" xfId="0"/>
    <xf numFmtId="0" fontId="3" fillId="2" borderId="6" pivotButton="0" quotePrefix="0" xfId="0"/>
    <xf numFmtId="0" fontId="5" fillId="0" borderId="6" pivotButton="0" quotePrefix="0" xfId="0"/>
    <xf numFmtId="0" fontId="7" fillId="0" borderId="6" pivotButton="0" quotePrefix="0" xfId="0"/>
    <xf numFmtId="0" fontId="2" fillId="0" borderId="6" pivotButton="0" quotePrefix="0" xfId="0"/>
    <xf numFmtId="165" fontId="11" fillId="3" borderId="1" pivotButton="0" quotePrefix="0" xfId="0"/>
    <xf numFmtId="0" fontId="11" fillId="3" borderId="1" pivotButton="0" quotePrefix="0" xfId="0"/>
    <xf numFmtId="0" fontId="12" fillId="0" borderId="0" pivotButton="0" quotePrefix="0" xfId="0"/>
    <xf numFmtId="0" fontId="0" fillId="16" borderId="1" applyAlignment="1" pivotButton="0" quotePrefix="0" xfId="0">
      <alignment horizontal="center" vertical="center"/>
    </xf>
    <xf numFmtId="0" fontId="0" fillId="17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10" fillId="17" borderId="0" pivotButton="0" quotePrefix="0" xfId="0"/>
    <xf numFmtId="0" fontId="0" fillId="0" borderId="6" pivotButton="0" quotePrefix="0" xfId="0"/>
    <xf numFmtId="0" fontId="7" fillId="10" borderId="6" pivotButton="0" quotePrefix="0" xfId="0"/>
    <xf numFmtId="10" fontId="11" fillId="0" borderId="6" pivotButton="0" quotePrefix="0" xfId="0"/>
    <xf numFmtId="164" fontId="11" fillId="0" borderId="6" pivotButton="0" quotePrefix="0" xfId="0"/>
    <xf numFmtId="165" fontId="11" fillId="0" borderId="6" pivotButton="0" quotePrefix="0" xfId="0"/>
  </cellXfs>
  <cellStyles count="1">
    <cellStyle name="Normal" xfId="0" builtinId="0" hidden="0"/>
  </cellStyles>
  <dxfs count="3">
    <dxf>
      <fill>
        <patternFill patternType="solid">
          <fgColor rgb="00D1FADF"/>
        </patternFill>
      </fill>
    </dxf>
    <dxf>
      <fill>
        <patternFill patternType="solid">
          <fgColor rgb="00FEE4E2"/>
        </patternFill>
      </fill>
    </dxf>
    <dxf>
      <fill>
        <patternFill patternType="solid">
          <fgColor rgb="00F4E6FF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3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95" customWidth="1" min="2" max="2"/>
  </cols>
  <sheetData>
    <row r="2">
      <c r="B2" s="77" t="inlineStr">
        <is>
          <t>VERSION 07.08.2026: 4 Mieter + Spalte Zuordnung (Einzelumlagen)</t>
        </is>
      </c>
    </row>
    <row r="3">
      <c r="B3" s="48" t="inlineStr">
        <is>
          <t>Dateiiname: Nebenkostenabrechnung_Gewerbe_4_Mieter_Einzelumlage.xlsx</t>
        </is>
      </c>
    </row>
    <row r="4">
      <c r="B4" s="54" t="inlineStr">
        <is>
          <t>Blätter: Anleitung | Uebersicht | Objekt | Mieter (4) | Vertrags-Matrix | Kostenarten | Abr_Mieter1–4</t>
        </is>
      </c>
    </row>
    <row r="5">
      <c r="B5" s="3" t="inlineStr">
        <is>
          <t>1. Objekt</t>
        </is>
      </c>
    </row>
    <row r="6" ht="36" customHeight="1">
      <c r="B6" s="4" t="inlineStr">
        <is>
          <t>Im Blatt „Objekt“ Adresse, Abrechnungsjahr und USt-Option eintragen.</t>
        </is>
      </c>
    </row>
    <row r="8">
      <c r="B8" s="3" t="inlineStr">
        <is>
          <t>2. Mieter</t>
        </is>
      </c>
    </row>
    <row r="9" ht="36" customHeight="1">
      <c r="B9" s="4" t="inlineStr">
        <is>
          <t>Die 4 gewerblichen Mieter mit Einheit, m², Vorauszahlung und Vertragsdaten pflegen. Flächenanteil wird automatisch berechnet.</t>
        </is>
      </c>
    </row>
    <row r="11">
      <c r="B11" s="3" t="inlineStr">
        <is>
          <t>3. Vertrags-Matrix</t>
        </is>
      </c>
    </row>
    <row r="12" ht="36" customHeight="1">
      <c r="B12" s="4" t="inlineStr">
        <is>
          <t>Umlagefähigkeit laut Mietverträgen prüfen. Weichen Verträge ab, in der Spalte je Mieter vermerken.</t>
        </is>
      </c>
    </row>
    <row r="14">
      <c r="B14" s="3" t="inlineStr">
        <is>
          <t>4. Kostenarten</t>
        </is>
      </c>
    </row>
    <row r="15" ht="36" customHeight="1">
      <c r="B15" s="4" t="inlineStr">
        <is>
          <t>Objekt-Jahreskosten netto erfassen. Bei Verbrauch: Anteile der 4 Mieter manuell setzen (müssen i. d. R. 100 % ergeben).</t>
        </is>
      </c>
    </row>
    <row r="17">
      <c r="B17" s="3" t="inlineStr">
        <is>
          <t>5. Abrechnungen</t>
        </is>
      </c>
    </row>
    <row r="18" ht="36" customHeight="1">
      <c r="B18" s="4" t="inlineStr">
        <is>
          <t>Blätter „Abr_Mieter1“ bis „Abr_Mieter4“ berechnen Anteil, USt und Saldo je Mieter automatisch.</t>
        </is>
      </c>
    </row>
    <row r="20">
      <c r="B20" s="3" t="inlineStr">
        <is>
          <t>Farblegende</t>
        </is>
      </c>
    </row>
    <row r="21" ht="36" customHeight="1">
      <c r="B21" s="5" t="inlineStr">
        <is>
          <t>Gelb = Eingabe</t>
        </is>
      </c>
    </row>
    <row r="22">
      <c r="B22" s="6" t="inlineStr">
        <is>
          <t>Grau = Formel</t>
        </is>
      </c>
    </row>
    <row r="23">
      <c r="B23" s="7" t="inlineStr">
        <is>
          <t>Mieter 1 / 2 / 3 / 4 Farben</t>
        </is>
      </c>
    </row>
    <row r="24" ht="36" customHeight="1">
      <c r="B24" s="8" t="inlineStr">
        <is>
          <t>Mieter 2</t>
        </is>
      </c>
    </row>
    <row r="25">
      <c r="B25" s="9" t="inlineStr">
        <is>
          <t>Mieter 3</t>
        </is>
      </c>
    </row>
    <row r="26">
      <c r="B26" s="10" t="inlineStr">
        <is>
          <t>Mieter 4</t>
        </is>
      </c>
    </row>
    <row r="28">
      <c r="B28" s="3" t="inlineStr">
        <is>
          <t>Einzelumlage (nur ein Mieter)</t>
        </is>
      </c>
    </row>
    <row r="29" ht="36" customHeight="1">
      <c r="B29" s="59" t="inlineStr">
        <is>
          <t>Kostenarten → Zuordnung M1/M2/M3/M4 → Betrag netto. Lila Zeilen. Fließt automatisch nur in Abr_MieterX ein.</t>
        </is>
      </c>
    </row>
    <row r="30">
      <c r="B30" s="60" t="inlineStr">
        <is>
          <t>Lila = Einzelumlage / Zuordnung nur ein Mieter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J1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0" customWidth="1" min="2" max="2"/>
    <col width="34" customWidth="1" min="3" max="3"/>
    <col width="26" customWidth="1" min="4" max="4"/>
    <col width="12" customWidth="1" min="5" max="5"/>
    <col width="14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B1" s="81" t="inlineStr">
        <is>
          <t>VERSION mit Einzelumlagen – Zuordnung Alle/M1–M4</t>
        </is>
      </c>
    </row>
    <row r="2">
      <c r="B2" s="1" t="inlineStr">
        <is>
          <t>Übersicht – Objekt mit 4 gewerblichen Mietern</t>
        </is>
      </c>
    </row>
    <row r="3">
      <c r="B3" s="2">
        <f>Objekt!C5&amp;" · "&amp;TEXT(Objekt!C7,"DD.MM.YYYY")&amp;" – "&amp;TEXT(Objekt!C8,"DD.MM.YYYY")</f>
        <v/>
      </c>
    </row>
    <row r="5">
      <c r="B5" s="11" t="inlineStr">
        <is>
          <t>Nr</t>
        </is>
      </c>
      <c r="C5" s="11" t="inlineStr">
        <is>
          <t>Mieter</t>
        </is>
      </c>
      <c r="D5" s="11" t="inlineStr">
        <is>
          <t>Einheit</t>
        </is>
      </c>
      <c r="E5" s="11" t="inlineStr">
        <is>
          <t>m²</t>
        </is>
      </c>
      <c r="F5" s="11" t="inlineStr">
        <is>
          <t>Anteil</t>
        </is>
      </c>
      <c r="G5" s="11" t="inlineStr">
        <is>
          <t>VZ brutto €</t>
        </is>
      </c>
      <c r="H5" s="11" t="inlineStr">
        <is>
          <t>NK brutto €</t>
        </is>
      </c>
      <c r="I5" s="11" t="inlineStr">
        <is>
          <t>Saldo €</t>
        </is>
      </c>
      <c r="J5" s="11" t="inlineStr">
        <is>
          <t>Abrechnung</t>
        </is>
      </c>
    </row>
    <row r="6">
      <c r="B6" s="12" t="n">
        <v>1</v>
      </c>
      <c r="C6" s="13">
        <f>Mieter!C6</f>
        <v/>
      </c>
      <c r="D6" s="13">
        <f>Mieter!D6</f>
        <v/>
      </c>
      <c r="E6" s="14">
        <f>Mieter!E6</f>
        <v/>
      </c>
      <c r="F6" s="15">
        <f>Mieter!F6</f>
        <v/>
      </c>
      <c r="G6" s="56">
        <f>Mieter!J6</f>
        <v/>
      </c>
      <c r="H6" s="56">
        <f>'Abr_Mieter1'!C51</f>
        <v/>
      </c>
      <c r="I6" s="57">
        <f>'Abr_Mieter1'!C53</f>
        <v/>
      </c>
      <c r="J6" s="12" t="inlineStr">
        <is>
          <t>Abr_Mieter1</t>
        </is>
      </c>
    </row>
    <row r="7">
      <c r="B7" s="18" t="n">
        <v>2</v>
      </c>
      <c r="C7" s="13">
        <f>Mieter!C7</f>
        <v/>
      </c>
      <c r="D7" s="13">
        <f>Mieter!D7</f>
        <v/>
      </c>
      <c r="E7" s="14">
        <f>Mieter!E7</f>
        <v/>
      </c>
      <c r="F7" s="15">
        <f>Mieter!F7</f>
        <v/>
      </c>
      <c r="G7" s="56">
        <f>Mieter!J7</f>
        <v/>
      </c>
      <c r="H7" s="56">
        <f>'Abr_Mieter2'!C51</f>
        <v/>
      </c>
      <c r="I7" s="57">
        <f>'Abr_Mieter2'!C53</f>
        <v/>
      </c>
      <c r="J7" s="18" t="inlineStr">
        <is>
          <t>Abr_Mieter2</t>
        </is>
      </c>
    </row>
    <row r="8">
      <c r="B8" s="19" t="n">
        <v>3</v>
      </c>
      <c r="C8" s="13">
        <f>Mieter!C8</f>
        <v/>
      </c>
      <c r="D8" s="13">
        <f>Mieter!D8</f>
        <v/>
      </c>
      <c r="E8" s="14">
        <f>Mieter!E8</f>
        <v/>
      </c>
      <c r="F8" s="15">
        <f>Mieter!F8</f>
        <v/>
      </c>
      <c r="G8" s="56">
        <f>Mieter!J8</f>
        <v/>
      </c>
      <c r="H8" s="56">
        <f>'Abr_Mieter3'!C51</f>
        <v/>
      </c>
      <c r="I8" s="57">
        <f>'Abr_Mieter3'!C53</f>
        <v/>
      </c>
      <c r="J8" s="19" t="inlineStr">
        <is>
          <t>Abr_Mieter3</t>
        </is>
      </c>
    </row>
    <row r="9">
      <c r="B9" s="20" t="n">
        <v>4</v>
      </c>
      <c r="C9" s="13">
        <f>Mieter!C9</f>
        <v/>
      </c>
      <c r="D9" s="13">
        <f>Mieter!D9</f>
        <v/>
      </c>
      <c r="E9" s="14">
        <f>Mieter!E9</f>
        <v/>
      </c>
      <c r="F9" s="15">
        <f>Mieter!F9</f>
        <v/>
      </c>
      <c r="G9" s="56">
        <f>Mieter!J9</f>
        <v/>
      </c>
      <c r="H9" s="56">
        <f>'Abr_Mieter4'!C51</f>
        <v/>
      </c>
      <c r="I9" s="57">
        <f>'Abr_Mieter4'!C53</f>
        <v/>
      </c>
      <c r="J9" s="20" t="inlineStr">
        <is>
          <t>Abr_Mieter4</t>
        </is>
      </c>
    </row>
    <row r="10">
      <c r="C10" s="21" t="inlineStr">
        <is>
          <t>SUMME</t>
        </is>
      </c>
      <c r="E10" s="22">
        <f>SUM(E6:E9)</f>
        <v/>
      </c>
      <c r="F10" s="23">
        <f>SUM(F6:F9)</f>
        <v/>
      </c>
      <c r="G10" s="57">
        <f>SUM(G6:G9)</f>
        <v/>
      </c>
      <c r="H10" s="57">
        <f>SUM(H6:H9)</f>
        <v/>
      </c>
      <c r="I10" s="57">
        <f>SUM(I6:I9)</f>
        <v/>
      </c>
    </row>
    <row r="12">
      <c r="B12" s="3" t="inlineStr">
        <is>
          <t>Checkliste vor Versand</t>
        </is>
      </c>
    </row>
    <row r="13">
      <c r="B13" s="24" t="inlineStr">
        <is>
          <t>☐</t>
        </is>
      </c>
      <c r="C13" s="13" t="inlineStr">
        <is>
          <t>Alle 4 Mietverträge auf Umlagefähigkeit geprüft (Vertrags-Matrix M1–M4)</t>
        </is>
      </c>
      <c r="D13" s="25" t="n"/>
      <c r="E13" s="25" t="n"/>
      <c r="F13" s="25" t="n"/>
      <c r="G13" s="25" t="n"/>
      <c r="H13" s="25" t="n"/>
      <c r="I13" s="25" t="n"/>
      <c r="J13" s="26" t="n"/>
    </row>
    <row r="14">
      <c r="B14" s="24" t="inlineStr">
        <is>
          <t>☐</t>
        </is>
      </c>
      <c r="C14" s="13" t="inlineStr">
        <is>
          <t>Flächenanteile Summe = 100 %</t>
        </is>
      </c>
      <c r="D14" s="25" t="n"/>
      <c r="E14" s="25" t="n"/>
      <c r="F14" s="25" t="n"/>
      <c r="G14" s="25" t="n"/>
      <c r="H14" s="25" t="n"/>
      <c r="I14" s="25" t="n"/>
      <c r="J14" s="26" t="n"/>
    </row>
    <row r="15">
      <c r="B15" s="24" t="inlineStr">
        <is>
          <t>☐</t>
        </is>
      </c>
      <c r="C15" s="13" t="inlineStr">
        <is>
          <t>Verbrauchsanteile je Kostenart plausibel / Summe ≈ 100 %</t>
        </is>
      </c>
      <c r="D15" s="25" t="n"/>
      <c r="E15" s="25" t="n"/>
      <c r="F15" s="25" t="n"/>
      <c r="G15" s="25" t="n"/>
      <c r="H15" s="25" t="n"/>
      <c r="I15" s="25" t="n"/>
      <c r="J15" s="26" t="n"/>
    </row>
    <row r="16">
      <c r="B16" s="24" t="inlineStr">
        <is>
          <t>☐</t>
        </is>
      </c>
      <c r="C16" s="13" t="inlineStr">
        <is>
          <t>USt-Option korrekt, Nettoerfassung, Vorauszahlungen brutto</t>
        </is>
      </c>
      <c r="D16" s="25" t="n"/>
      <c r="E16" s="25" t="n"/>
      <c r="F16" s="25" t="n"/>
      <c r="G16" s="25" t="n"/>
      <c r="H16" s="25" t="n"/>
      <c r="I16" s="25" t="n"/>
      <c r="J16" s="26" t="n"/>
    </row>
    <row r="17">
      <c r="B17" s="24" t="inlineStr">
        <is>
          <t>☐</t>
        </is>
      </c>
      <c r="C17" s="13" t="inlineStr">
        <is>
          <t>Je Mieter Abrechnungsblatt geprüft und Versand dokumentiert</t>
        </is>
      </c>
      <c r="D17" s="25" t="n"/>
      <c r="E17" s="25" t="n"/>
      <c r="F17" s="25" t="n"/>
      <c r="G17" s="25" t="n"/>
      <c r="H17" s="25" t="n"/>
      <c r="I17" s="25" t="n"/>
      <c r="J17" s="26" t="n"/>
    </row>
    <row r="18">
      <c r="B18" s="28" t="inlineStr">
        <is>
          <t>☐</t>
        </is>
      </c>
      <c r="C18" s="13" t="inlineStr">
        <is>
          <t>Einzelrechnungen: Zuordnung M1–M4 gesetzt und in Abr_MieterX enthalten</t>
        </is>
      </c>
    </row>
    <row r="19">
      <c r="B19" s="2" t="inlineStr">
        <is>
          <t>Arbeitshilfe, keine Rechts-/Steuerberatung.</t>
        </is>
      </c>
    </row>
  </sheetData>
  <mergeCells count="5">
    <mergeCell ref="C17:J17"/>
    <mergeCell ref="C15:J15"/>
    <mergeCell ref="C16:J16"/>
    <mergeCell ref="C14:J14"/>
    <mergeCell ref="C13:J13"/>
  </mergeCells>
  <dataValidations count="1">
    <dataValidation sqref="B13:B20" showDropDown="0" showInputMessage="0" showErrorMessage="0" allowBlank="1" type="list">
      <formula1>"☐,☑"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C1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40" customWidth="1" min="2" max="2"/>
    <col width="36" customWidth="1" min="3" max="3"/>
  </cols>
  <sheetData>
    <row r="2">
      <c r="B2" s="1" t="inlineStr">
        <is>
          <t>Objekt-Stammdaten</t>
        </is>
      </c>
    </row>
    <row r="3">
      <c r="B3" s="2" t="inlineStr">
        <is>
          <t>Gemeinsam für alle 4 gewerblichen Mieter</t>
        </is>
      </c>
    </row>
    <row r="5">
      <c r="B5" s="27" t="inlineStr">
        <is>
          <t>Objekt / Adresse</t>
        </is>
      </c>
      <c r="C5" s="28" t="inlineStr">
        <is>
          <t>Musterstraße 1, 80331 München</t>
        </is>
      </c>
    </row>
    <row r="6">
      <c r="B6" s="27" t="inlineStr">
        <is>
          <t>Objektbezeichnung</t>
        </is>
      </c>
      <c r="C6" s="28" t="inlineStr">
        <is>
          <t>Gewerbeobjekt Musterhof</t>
        </is>
      </c>
    </row>
    <row r="7">
      <c r="B7" s="27" t="inlineStr">
        <is>
          <t>Abrechnungszeitraum von</t>
        </is>
      </c>
      <c r="C7" s="29" t="n">
        <v>45658</v>
      </c>
    </row>
    <row r="8">
      <c r="B8" s="27" t="inlineStr">
        <is>
          <t>Abrechnungszeitraum bis</t>
        </is>
      </c>
      <c r="C8" s="29" t="n">
        <v>46022</v>
      </c>
    </row>
    <row r="9">
      <c r="B9" s="27" t="inlineStr">
        <is>
          <t>USt-Option Vermietung</t>
        </is>
      </c>
      <c r="C9" s="28" t="inlineStr">
        <is>
          <t>Ja</t>
        </is>
      </c>
    </row>
    <row r="10">
      <c r="B10" s="27" t="inlineStr">
        <is>
          <t>USt-Satz</t>
        </is>
      </c>
      <c r="C10" s="30" t="n">
        <v>0.19</v>
      </c>
    </row>
    <row r="11">
      <c r="B11" s="27" t="inlineStr">
        <is>
          <t>Anzahl Mieter</t>
        </is>
      </c>
      <c r="C11" s="31">
        <f>COUNTA(Mieter!C6:C9)</f>
        <v/>
      </c>
    </row>
    <row r="12">
      <c r="B12" s="27" t="inlineStr">
        <is>
          <t>Gesamtfläche Abrechnungseinheit m²</t>
        </is>
      </c>
      <c r="C12" s="32">
        <f>SUM(Mieter!E6:E9)</f>
        <v/>
      </c>
    </row>
    <row r="14">
      <c r="B14" s="2" t="inlineStr">
        <is>
          <t>Hinweis: Gesamtfläche = Summe der Mieterflächen (Blatt Mieter). Leerstand separat behandeln.</t>
        </is>
      </c>
    </row>
  </sheetData>
  <dataValidations count="1">
    <dataValidation sqref="C9" showDropDown="0" showInputMessage="0" showErrorMessage="0" allowBlank="0" type="list">
      <formula1>"Ja,Nein"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K12"/>
  <sheetViews>
    <sheetView showGridLines="0" workbookViewId="0">
      <pane xSplit="1" ySplit="5" topLeftCell="B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" customWidth="1" min="1" max="1"/>
    <col width="10" customWidth="1" min="2" max="2"/>
    <col width="34" customWidth="1" min="3" max="3"/>
    <col width="26" customWidth="1" min="4" max="4"/>
    <col width="12" customWidth="1" min="5" max="5"/>
    <col width="12" customWidth="1" min="6" max="6"/>
    <col width="16" customWidth="1" min="7" max="7"/>
    <col width="14" customWidth="1" min="8" max="8"/>
    <col width="16" customWidth="1" min="9" max="9"/>
    <col width="16" customWidth="1" min="10" max="10"/>
    <col width="18" customWidth="1" min="11" max="11"/>
  </cols>
  <sheetData>
    <row r="2">
      <c r="B2" s="1" t="inlineStr">
        <is>
          <t>Mieterübersicht – 4 gewerbliche Mieter</t>
        </is>
      </c>
    </row>
    <row r="3">
      <c r="B3" s="2" t="inlineStr">
        <is>
          <t>Gelbe Felder pflegen. Flächenanteil und Vorauszahlungen werden berechnet.</t>
        </is>
      </c>
    </row>
    <row r="5" ht="32" customHeight="1">
      <c r="B5" s="11" t="inlineStr">
        <is>
          <t>Nr</t>
        </is>
      </c>
      <c r="C5" s="11" t="inlineStr">
        <is>
          <t>Mieter / Firma</t>
        </is>
      </c>
      <c r="D5" s="11" t="inlineStr">
        <is>
          <t>Einheit</t>
        </is>
      </c>
      <c r="E5" s="11" t="inlineStr">
        <is>
          <t>Fläche m²</t>
        </is>
      </c>
      <c r="F5" s="11" t="inlineStr">
        <is>
          <t>Anteil %</t>
        </is>
      </c>
      <c r="G5" s="11" t="inlineStr">
        <is>
          <t>NK/Monat netto €</t>
        </is>
      </c>
      <c r="H5" s="11" t="inlineStr">
        <is>
          <t>Monate</t>
        </is>
      </c>
      <c r="I5" s="11" t="inlineStr">
        <is>
          <t>VZ Zeitraum netto €</t>
        </is>
      </c>
      <c r="J5" s="11" t="inlineStr">
        <is>
          <t>VZ brutto €</t>
        </is>
      </c>
      <c r="K5" s="11" t="inlineStr">
        <is>
          <t>Vertragsbeginn</t>
        </is>
      </c>
    </row>
    <row r="6">
      <c r="B6" s="33" t="n">
        <v>1</v>
      </c>
      <c r="C6" s="28" t="inlineStr">
        <is>
          <t>Mieter 1 – Alpha Handel GmbH</t>
        </is>
      </c>
      <c r="D6" s="28" t="inlineStr">
        <is>
          <t>EG links / Laden</t>
        </is>
      </c>
      <c r="E6" s="34" t="n">
        <v>180</v>
      </c>
      <c r="F6" s="35">
        <f>IF(Objekt!$C$12=0,0,E6/Objekt!$C$12)</f>
        <v/>
      </c>
      <c r="G6" s="58" t="n">
        <v>520</v>
      </c>
      <c r="H6" s="28" t="n">
        <v>12</v>
      </c>
      <c r="I6" s="56">
        <f>G6*H6</f>
        <v/>
      </c>
      <c r="J6" s="56">
        <f>IF(Objekt!$C$9="Ja",I6*(1+Objekt!$C$10),I6)</f>
        <v/>
      </c>
      <c r="K6" s="28" t="inlineStr">
        <is>
          <t>01.03.2022</t>
        </is>
      </c>
    </row>
    <row r="7">
      <c r="B7" s="37" t="n">
        <v>2</v>
      </c>
      <c r="C7" s="28" t="inlineStr">
        <is>
          <t>Mieter 2 – Beta Services KG</t>
        </is>
      </c>
      <c r="D7" s="28" t="inlineStr">
        <is>
          <t>EG rechts / Büro</t>
        </is>
      </c>
      <c r="E7" s="34" t="n">
        <v>140</v>
      </c>
      <c r="F7" s="35">
        <f>IF(Objekt!$C$12=0,0,E7/Objekt!$C$12)</f>
        <v/>
      </c>
      <c r="G7" s="58" t="n">
        <v>410</v>
      </c>
      <c r="H7" s="28" t="n">
        <v>12</v>
      </c>
      <c r="I7" s="56">
        <f>G7*H7</f>
        <v/>
      </c>
      <c r="J7" s="56">
        <f>IF(Objekt!$C$9="Ja",I7*(1+Objekt!$C$10),I7)</f>
        <v/>
      </c>
      <c r="K7" s="28" t="inlineStr">
        <is>
          <t>01.07.2023</t>
        </is>
      </c>
    </row>
    <row r="8">
      <c r="B8" s="38" t="n">
        <v>3</v>
      </c>
      <c r="C8" s="28" t="inlineStr">
        <is>
          <t>Mieter 3 – Gamma Gastro GmbH</t>
        </is>
      </c>
      <c r="D8" s="28" t="inlineStr">
        <is>
          <t>1. OG / Gastronomie</t>
        </is>
      </c>
      <c r="E8" s="34" t="n">
        <v>220</v>
      </c>
      <c r="F8" s="35">
        <f>IF(Objekt!$C$12=0,0,E8/Objekt!$C$12)</f>
        <v/>
      </c>
      <c r="G8" s="58" t="n">
        <v>680</v>
      </c>
      <c r="H8" s="28" t="n">
        <v>12</v>
      </c>
      <c r="I8" s="56">
        <f>G8*H8</f>
        <v/>
      </c>
      <c r="J8" s="56">
        <f>IF(Objekt!$C$9="Ja",I8*(1+Objekt!$C$10),I8)</f>
        <v/>
      </c>
      <c r="K8" s="28" t="inlineStr">
        <is>
          <t>01.01.2021</t>
        </is>
      </c>
    </row>
    <row r="9">
      <c r="B9" s="39" t="n">
        <v>4</v>
      </c>
      <c r="C9" s="28" t="inlineStr">
        <is>
          <t>Mieter 4 – Delta Praxis Dr. Muster</t>
        </is>
      </c>
      <c r="D9" s="28" t="inlineStr">
        <is>
          <t>2. OG / Praxis</t>
        </is>
      </c>
      <c r="E9" s="34" t="n">
        <v>160</v>
      </c>
      <c r="F9" s="35">
        <f>IF(Objekt!$C$12=0,0,E9/Objekt!$C$12)</f>
        <v/>
      </c>
      <c r="G9" s="58" t="n">
        <v>470</v>
      </c>
      <c r="H9" s="28" t="n">
        <v>12</v>
      </c>
      <c r="I9" s="56">
        <f>G9*H9</f>
        <v/>
      </c>
      <c r="J9" s="56">
        <f>IF(Objekt!$C$9="Ja",I9*(1+Objekt!$C$10),I9)</f>
        <v/>
      </c>
      <c r="K9" s="28" t="inlineStr">
        <is>
          <t>15.09.2024</t>
        </is>
      </c>
    </row>
    <row r="10">
      <c r="C10" s="21" t="inlineStr">
        <is>
          <t>SUMME / Kontrolle</t>
        </is>
      </c>
      <c r="E10" s="22">
        <f>SUM(E6:E9)</f>
        <v/>
      </c>
      <c r="F10" s="23">
        <f>SUM(F6:F9)</f>
        <v/>
      </c>
      <c r="I10" s="57">
        <f>SUM(I6:I9)</f>
        <v/>
      </c>
      <c r="J10" s="57">
        <f>SUM(J6:J9)</f>
        <v/>
      </c>
    </row>
    <row r="12">
      <c r="B12" s="2" t="inlineStr">
        <is>
          <t>Flächenanteile müssen in Summe 100 % ergeben (wenn nur diese 4 Mieter die Abrechnungseinheit bilden).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J79"/>
  <sheetViews>
    <sheetView showGridLines="0" workbookViewId="0">
      <pane xSplit="1" ySplit="5" topLeftCell="B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" customWidth="1" min="1" max="1"/>
    <col width="6" customWidth="1" min="2" max="2"/>
    <col width="3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6" customWidth="1" min="9" max="9"/>
    <col width="28" customWidth="1" min="10" max="10"/>
  </cols>
  <sheetData>
    <row r="2">
      <c r="B2" s="1" t="inlineStr">
        <is>
          <t>Vertrags-Matrix – Umlagefähigkeit je Kostenart</t>
        </is>
      </c>
    </row>
    <row r="3">
      <c r="B3" s="2" t="inlineStr">
        <is>
          <t>Einzelrechnungen lilafarben. Pro Mieter M1–M4 steuern. Primär: Spalte Zuordnung in Kostenarten.</t>
        </is>
      </c>
    </row>
    <row r="5">
      <c r="B5" s="11" t="inlineStr">
        <is>
          <t>Nr</t>
        </is>
      </c>
      <c r="C5" s="11" t="inlineStr">
        <is>
          <t>Kostenart</t>
        </is>
      </c>
      <c r="D5" s="11" t="inlineStr">
        <is>
          <t>Standard umlagefähig?</t>
        </is>
      </c>
      <c r="E5" s="40" t="inlineStr">
        <is>
          <t>M1</t>
        </is>
      </c>
      <c r="F5" s="41" t="inlineStr">
        <is>
          <t>M2</t>
        </is>
      </c>
      <c r="G5" s="42" t="inlineStr">
        <is>
          <t>M3</t>
        </is>
      </c>
      <c r="H5" s="43" t="inlineStr">
        <is>
          <t>M4</t>
        </is>
      </c>
      <c r="I5" s="11" t="inlineStr">
        <is>
          <t>Schlüssel</t>
        </is>
      </c>
      <c r="J5" s="11" t="inlineStr">
        <is>
          <t>Bemerkung</t>
        </is>
      </c>
    </row>
    <row r="6">
      <c r="B6" s="13" t="n">
        <v>1</v>
      </c>
      <c r="C6" s="13" t="inlineStr">
        <is>
          <t>Grundsteuer</t>
        </is>
      </c>
      <c r="D6" s="44" t="inlineStr">
        <is>
          <t>Ja</t>
        </is>
      </c>
      <c r="E6" s="24" t="inlineStr">
        <is>
          <t>Ja</t>
        </is>
      </c>
      <c r="F6" s="24" t="inlineStr">
        <is>
          <t>Ja</t>
        </is>
      </c>
      <c r="G6" s="24" t="inlineStr">
        <is>
          <t>Ja</t>
        </is>
      </c>
      <c r="H6" s="24" t="inlineStr">
        <is>
          <t>Ja</t>
        </is>
      </c>
      <c r="I6" s="24" t="inlineStr">
        <is>
          <t>Fläche</t>
        </is>
      </c>
      <c r="J6" s="28" t="inlineStr"/>
    </row>
    <row r="7">
      <c r="B7" s="13" t="n">
        <v>2</v>
      </c>
      <c r="C7" s="13" t="inlineStr">
        <is>
          <t>Wasser / Abwasser</t>
        </is>
      </c>
      <c r="D7" s="44" t="inlineStr">
        <is>
          <t>Ja</t>
        </is>
      </c>
      <c r="E7" s="24" t="inlineStr">
        <is>
          <t>Ja</t>
        </is>
      </c>
      <c r="F7" s="24" t="inlineStr">
        <is>
          <t>Ja</t>
        </is>
      </c>
      <c r="G7" s="24" t="inlineStr">
        <is>
          <t>Ja</t>
        </is>
      </c>
      <c r="H7" s="24" t="inlineStr">
        <is>
          <t>Ja</t>
        </is>
      </c>
      <c r="I7" s="24" t="inlineStr">
        <is>
          <t>Verbrauch</t>
        </is>
      </c>
      <c r="J7" s="28" t="inlineStr"/>
    </row>
    <row r="8">
      <c r="B8" s="13" t="n">
        <v>3</v>
      </c>
      <c r="C8" s="13" t="inlineStr">
        <is>
          <t>Heizung / Warmwasser</t>
        </is>
      </c>
      <c r="D8" s="44" t="inlineStr">
        <is>
          <t>Ja</t>
        </is>
      </c>
      <c r="E8" s="24" t="inlineStr">
        <is>
          <t>Ja</t>
        </is>
      </c>
      <c r="F8" s="24" t="inlineStr">
        <is>
          <t>Ja</t>
        </is>
      </c>
      <c r="G8" s="24" t="inlineStr">
        <is>
          <t>Ja</t>
        </is>
      </c>
      <c r="H8" s="24" t="inlineStr">
        <is>
          <t>Ja</t>
        </is>
      </c>
      <c r="I8" s="24" t="inlineStr">
        <is>
          <t>Verbrauch</t>
        </is>
      </c>
      <c r="J8" s="28" t="inlineStr"/>
    </row>
    <row r="9">
      <c r="B9" s="13" t="n">
        <v>4</v>
      </c>
      <c r="C9" s="13" t="inlineStr">
        <is>
          <t>Straßenreinigung / Müll</t>
        </is>
      </c>
      <c r="D9" s="44" t="inlineStr">
        <is>
          <t>Ja</t>
        </is>
      </c>
      <c r="E9" s="24" t="inlineStr">
        <is>
          <t>Ja</t>
        </is>
      </c>
      <c r="F9" s="24" t="inlineStr">
        <is>
          <t>Ja</t>
        </is>
      </c>
      <c r="G9" s="24" t="inlineStr">
        <is>
          <t>Ja</t>
        </is>
      </c>
      <c r="H9" s="24" t="inlineStr">
        <is>
          <t>Ja</t>
        </is>
      </c>
      <c r="I9" s="24" t="inlineStr">
        <is>
          <t>Fläche</t>
        </is>
      </c>
      <c r="J9" s="28" t="inlineStr"/>
    </row>
    <row r="10">
      <c r="B10" s="13" t="n">
        <v>5</v>
      </c>
      <c r="C10" s="13" t="inlineStr">
        <is>
          <t>Gebäudeversicherung</t>
        </is>
      </c>
      <c r="D10" s="44" t="inlineStr">
        <is>
          <t>Ja</t>
        </is>
      </c>
      <c r="E10" s="24" t="inlineStr">
        <is>
          <t>Ja</t>
        </is>
      </c>
      <c r="F10" s="24" t="inlineStr">
        <is>
          <t>Ja</t>
        </is>
      </c>
      <c r="G10" s="24" t="inlineStr">
        <is>
          <t>Ja</t>
        </is>
      </c>
      <c r="H10" s="24" t="inlineStr">
        <is>
          <t>Ja</t>
        </is>
      </c>
      <c r="I10" s="24" t="inlineStr">
        <is>
          <t>Fläche</t>
        </is>
      </c>
      <c r="J10" s="28" t="inlineStr"/>
    </row>
    <row r="11">
      <c r="B11" s="13" t="n">
        <v>6</v>
      </c>
      <c r="C11" s="13" t="inlineStr">
        <is>
          <t>Haftpflicht Gebäude</t>
        </is>
      </c>
      <c r="D11" s="44" t="inlineStr">
        <is>
          <t>Ja</t>
        </is>
      </c>
      <c r="E11" s="24" t="inlineStr">
        <is>
          <t>Ja</t>
        </is>
      </c>
      <c r="F11" s="24" t="inlineStr">
        <is>
          <t>Ja</t>
        </is>
      </c>
      <c r="G11" s="24" t="inlineStr">
        <is>
          <t>Ja</t>
        </is>
      </c>
      <c r="H11" s="24" t="inlineStr">
        <is>
          <t>Ja</t>
        </is>
      </c>
      <c r="I11" s="24" t="inlineStr">
        <is>
          <t>Fläche</t>
        </is>
      </c>
      <c r="J11" s="28" t="inlineStr"/>
    </row>
    <row r="12">
      <c r="B12" s="13" t="n">
        <v>7</v>
      </c>
      <c r="C12" s="13" t="inlineStr">
        <is>
          <t>Hausmeister / Facility</t>
        </is>
      </c>
      <c r="D12" s="44" t="inlineStr">
        <is>
          <t>Ja</t>
        </is>
      </c>
      <c r="E12" s="24" t="inlineStr">
        <is>
          <t>Ja</t>
        </is>
      </c>
      <c r="F12" s="24" t="inlineStr">
        <is>
          <t>Ja</t>
        </is>
      </c>
      <c r="G12" s="24" t="inlineStr">
        <is>
          <t>Ja</t>
        </is>
      </c>
      <c r="H12" s="24" t="inlineStr">
        <is>
          <t>Ja</t>
        </is>
      </c>
      <c r="I12" s="24" t="inlineStr">
        <is>
          <t>Fläche</t>
        </is>
      </c>
      <c r="J12" s="28" t="inlineStr"/>
    </row>
    <row r="13">
      <c r="B13" s="13" t="n">
        <v>8</v>
      </c>
      <c r="C13" s="13" t="inlineStr">
        <is>
          <t>Gartenpflege / Außenanlagen</t>
        </is>
      </c>
      <c r="D13" s="44" t="inlineStr">
        <is>
          <t>Ja</t>
        </is>
      </c>
      <c r="E13" s="24" t="inlineStr">
        <is>
          <t>Ja</t>
        </is>
      </c>
      <c r="F13" s="24" t="inlineStr">
        <is>
          <t>Ja</t>
        </is>
      </c>
      <c r="G13" s="24" t="inlineStr">
        <is>
          <t>Ja</t>
        </is>
      </c>
      <c r="H13" s="24" t="inlineStr">
        <is>
          <t>Ja</t>
        </is>
      </c>
      <c r="I13" s="24" t="inlineStr">
        <is>
          <t>Fläche</t>
        </is>
      </c>
      <c r="J13" s="28" t="inlineStr"/>
    </row>
    <row r="14">
      <c r="B14" s="13" t="n">
        <v>9</v>
      </c>
      <c r="C14" s="13" t="inlineStr">
        <is>
          <t>Aufzug Wartung</t>
        </is>
      </c>
      <c r="D14" s="44" t="inlineStr">
        <is>
          <t>Ja</t>
        </is>
      </c>
      <c r="E14" s="24" t="inlineStr">
        <is>
          <t>Ja</t>
        </is>
      </c>
      <c r="F14" s="24" t="inlineStr">
        <is>
          <t>Ja</t>
        </is>
      </c>
      <c r="G14" s="24" t="inlineStr">
        <is>
          <t>Ja</t>
        </is>
      </c>
      <c r="H14" s="24" t="inlineStr">
        <is>
          <t>Ja</t>
        </is>
      </c>
      <c r="I14" s="24" t="inlineStr">
        <is>
          <t>Fläche</t>
        </is>
      </c>
      <c r="J14" s="28" t="inlineStr"/>
    </row>
    <row r="15">
      <c r="B15" s="13" t="n">
        <v>10</v>
      </c>
      <c r="C15" s="13" t="inlineStr">
        <is>
          <t>Aufzug Instandsetzung</t>
        </is>
      </c>
      <c r="D15" s="45" t="inlineStr">
        <is>
          <t>Nein</t>
        </is>
      </c>
      <c r="E15" s="24" t="inlineStr">
        <is>
          <t>Nein</t>
        </is>
      </c>
      <c r="F15" s="24" t="inlineStr">
        <is>
          <t>Nein</t>
        </is>
      </c>
      <c r="G15" s="24" t="inlineStr">
        <is>
          <t>Nein</t>
        </is>
      </c>
      <c r="H15" s="24" t="inlineStr">
        <is>
          <t>Nein</t>
        </is>
      </c>
      <c r="I15" s="24" t="inlineStr">
        <is>
          <t>Fläche</t>
        </is>
      </c>
      <c r="J15" s="28" t="inlineStr"/>
    </row>
    <row r="16">
      <c r="B16" s="13" t="n">
        <v>11</v>
      </c>
      <c r="C16" s="13" t="inlineStr">
        <is>
          <t>Klima- / Lüftungsanlage Wartung</t>
        </is>
      </c>
      <c r="D16" s="44" t="inlineStr">
        <is>
          <t>Ja</t>
        </is>
      </c>
      <c r="E16" s="24" t="inlineStr">
        <is>
          <t>Ja</t>
        </is>
      </c>
      <c r="F16" s="24" t="inlineStr">
        <is>
          <t>Ja</t>
        </is>
      </c>
      <c r="G16" s="24" t="inlineStr">
        <is>
          <t>Ja</t>
        </is>
      </c>
      <c r="H16" s="24" t="inlineStr">
        <is>
          <t>Ja</t>
        </is>
      </c>
      <c r="I16" s="24" t="inlineStr">
        <is>
          <t>Fläche</t>
        </is>
      </c>
      <c r="J16" s="28" t="inlineStr"/>
    </row>
    <row r="17">
      <c r="B17" s="13" t="n">
        <v>12</v>
      </c>
      <c r="C17" s="13" t="inlineStr">
        <is>
          <t>Brandschutz / Sicherheitstechnik</t>
        </is>
      </c>
      <c r="D17" s="44" t="inlineStr">
        <is>
          <t>Ja</t>
        </is>
      </c>
      <c r="E17" s="24" t="inlineStr">
        <is>
          <t>Ja</t>
        </is>
      </c>
      <c r="F17" s="24" t="inlineStr">
        <is>
          <t>Ja</t>
        </is>
      </c>
      <c r="G17" s="24" t="inlineStr">
        <is>
          <t>Ja</t>
        </is>
      </c>
      <c r="H17" s="24" t="inlineStr">
        <is>
          <t>Ja</t>
        </is>
      </c>
      <c r="I17" s="24" t="inlineStr">
        <is>
          <t>Fläche</t>
        </is>
      </c>
      <c r="J17" s="28" t="inlineStr"/>
    </row>
    <row r="18">
      <c r="B18" s="13" t="n">
        <v>13</v>
      </c>
      <c r="C18" s="13" t="inlineStr">
        <is>
          <t>Sicherheit / Bewachung</t>
        </is>
      </c>
      <c r="D18" s="44" t="inlineStr">
        <is>
          <t>Ja</t>
        </is>
      </c>
      <c r="E18" s="24" t="inlineStr">
        <is>
          <t>Ja</t>
        </is>
      </c>
      <c r="F18" s="24" t="inlineStr">
        <is>
          <t>Ja</t>
        </is>
      </c>
      <c r="G18" s="24" t="inlineStr">
        <is>
          <t>Ja</t>
        </is>
      </c>
      <c r="H18" s="24" t="inlineStr">
        <is>
          <t>Ja</t>
        </is>
      </c>
      <c r="I18" s="24" t="inlineStr">
        <is>
          <t>Fläche</t>
        </is>
      </c>
      <c r="J18" s="28" t="inlineStr"/>
    </row>
    <row r="19">
      <c r="B19" s="13" t="n">
        <v>14</v>
      </c>
      <c r="C19" s="13" t="inlineStr">
        <is>
          <t>Reinigung Gemeinschaftsflächen</t>
        </is>
      </c>
      <c r="D19" s="44" t="inlineStr">
        <is>
          <t>Ja</t>
        </is>
      </c>
      <c r="E19" s="24" t="inlineStr">
        <is>
          <t>Ja</t>
        </is>
      </c>
      <c r="F19" s="24" t="inlineStr">
        <is>
          <t>Ja</t>
        </is>
      </c>
      <c r="G19" s="24" t="inlineStr">
        <is>
          <t>Ja</t>
        </is>
      </c>
      <c r="H19" s="24" t="inlineStr">
        <is>
          <t>Ja</t>
        </is>
      </c>
      <c r="I19" s="24" t="inlineStr">
        <is>
          <t>Fläche</t>
        </is>
      </c>
      <c r="J19" s="28" t="inlineStr"/>
    </row>
    <row r="20">
      <c r="B20" s="13" t="n">
        <v>15</v>
      </c>
      <c r="C20" s="13" t="inlineStr">
        <is>
          <t>Beleuchtung Allgemein</t>
        </is>
      </c>
      <c r="D20" s="44" t="inlineStr">
        <is>
          <t>Ja</t>
        </is>
      </c>
      <c r="E20" s="24" t="inlineStr">
        <is>
          <t>Ja</t>
        </is>
      </c>
      <c r="F20" s="24" t="inlineStr">
        <is>
          <t>Ja</t>
        </is>
      </c>
      <c r="G20" s="24" t="inlineStr">
        <is>
          <t>Ja</t>
        </is>
      </c>
      <c r="H20" s="24" t="inlineStr">
        <is>
          <t>Ja</t>
        </is>
      </c>
      <c r="I20" s="24" t="inlineStr">
        <is>
          <t>Fläche</t>
        </is>
      </c>
      <c r="J20" s="28" t="inlineStr"/>
    </row>
    <row r="21">
      <c r="B21" s="13" t="n">
        <v>16</v>
      </c>
      <c r="C21" s="13" t="inlineStr">
        <is>
          <t>Niederschlagswasser</t>
        </is>
      </c>
      <c r="D21" s="44" t="inlineStr">
        <is>
          <t>Ja</t>
        </is>
      </c>
      <c r="E21" s="24" t="inlineStr">
        <is>
          <t>Ja</t>
        </is>
      </c>
      <c r="F21" s="24" t="inlineStr">
        <is>
          <t>Ja</t>
        </is>
      </c>
      <c r="G21" s="24" t="inlineStr">
        <is>
          <t>Ja</t>
        </is>
      </c>
      <c r="H21" s="24" t="inlineStr">
        <is>
          <t>Ja</t>
        </is>
      </c>
      <c r="I21" s="24" t="inlineStr">
        <is>
          <t>Fläche</t>
        </is>
      </c>
      <c r="J21" s="28" t="inlineStr"/>
    </row>
    <row r="22">
      <c r="B22" s="13" t="n">
        <v>17</v>
      </c>
      <c r="C22" s="13" t="inlineStr">
        <is>
          <t>Verwaltungskosten</t>
        </is>
      </c>
      <c r="D22" s="44" t="inlineStr">
        <is>
          <t>Ja</t>
        </is>
      </c>
      <c r="E22" s="24" t="inlineStr">
        <is>
          <t>Ja</t>
        </is>
      </c>
      <c r="F22" s="24" t="inlineStr">
        <is>
          <t>Ja</t>
        </is>
      </c>
      <c r="G22" s="24" t="inlineStr">
        <is>
          <t>Ja</t>
        </is>
      </c>
      <c r="H22" s="24" t="inlineStr">
        <is>
          <t>Ja</t>
        </is>
      </c>
      <c r="I22" s="24" t="inlineStr">
        <is>
          <t>Fläche</t>
        </is>
      </c>
      <c r="J22" s="28" t="inlineStr"/>
    </row>
    <row r="23">
      <c r="B23" s="13" t="n">
        <v>18</v>
      </c>
      <c r="C23" s="13" t="inlineStr">
        <is>
          <t>Werbegemeinschaft / Center-Umlage</t>
        </is>
      </c>
      <c r="D23" s="45" t="inlineStr">
        <is>
          <t>Nein</t>
        </is>
      </c>
      <c r="E23" s="24" t="inlineStr">
        <is>
          <t>Nein</t>
        </is>
      </c>
      <c r="F23" s="24" t="inlineStr">
        <is>
          <t>Nein</t>
        </is>
      </c>
      <c r="G23" s="24" t="inlineStr">
        <is>
          <t>Nein</t>
        </is>
      </c>
      <c r="H23" s="24" t="inlineStr">
        <is>
          <t>Nein</t>
        </is>
      </c>
      <c r="I23" s="24" t="inlineStr">
        <is>
          <t>Fläche</t>
        </is>
      </c>
      <c r="J23" s="28" t="inlineStr"/>
    </row>
    <row r="24">
      <c r="B24" s="13" t="n">
        <v>19</v>
      </c>
      <c r="C24" s="13" t="inlineStr">
        <is>
          <t>Instandhaltung pauschal</t>
        </is>
      </c>
      <c r="D24" s="45" t="inlineStr">
        <is>
          <t>Nein</t>
        </is>
      </c>
      <c r="E24" s="24" t="inlineStr">
        <is>
          <t>Nein</t>
        </is>
      </c>
      <c r="F24" s="24" t="inlineStr">
        <is>
          <t>Nein</t>
        </is>
      </c>
      <c r="G24" s="24" t="inlineStr">
        <is>
          <t>Nein</t>
        </is>
      </c>
      <c r="H24" s="24" t="inlineStr">
        <is>
          <t>Nein</t>
        </is>
      </c>
      <c r="I24" s="24" t="inlineStr">
        <is>
          <t>Fläche</t>
        </is>
      </c>
      <c r="J24" s="28" t="inlineStr"/>
    </row>
    <row r="25">
      <c r="B25" s="13" t="n">
        <v>20</v>
      </c>
      <c r="C25" s="13" t="inlineStr">
        <is>
          <t>Schornstein / Kehrgebühren</t>
        </is>
      </c>
      <c r="D25" s="44" t="inlineStr">
        <is>
          <t>Ja</t>
        </is>
      </c>
      <c r="E25" s="24" t="inlineStr">
        <is>
          <t>Ja</t>
        </is>
      </c>
      <c r="F25" s="24" t="inlineStr">
        <is>
          <t>Ja</t>
        </is>
      </c>
      <c r="G25" s="24" t="inlineStr">
        <is>
          <t>Ja</t>
        </is>
      </c>
      <c r="H25" s="24" t="inlineStr">
        <is>
          <t>Ja</t>
        </is>
      </c>
      <c r="I25" s="24" t="inlineStr">
        <is>
          <t>Fläche</t>
        </is>
      </c>
      <c r="J25" s="28" t="inlineStr"/>
    </row>
    <row r="26">
      <c r="B26" s="13" t="n">
        <v>21</v>
      </c>
      <c r="C26" s="13" t="inlineStr">
        <is>
          <t>WEG-Hausgeld umlagefähiger Anteil</t>
        </is>
      </c>
      <c r="D26" s="44" t="inlineStr">
        <is>
          <t>Ja</t>
        </is>
      </c>
      <c r="E26" s="24" t="inlineStr">
        <is>
          <t>Ja</t>
        </is>
      </c>
      <c r="F26" s="24" t="inlineStr">
        <is>
          <t>Ja</t>
        </is>
      </c>
      <c r="G26" s="24" t="inlineStr">
        <is>
          <t>Ja</t>
        </is>
      </c>
      <c r="H26" s="24" t="inlineStr">
        <is>
          <t>Ja</t>
        </is>
      </c>
      <c r="I26" s="24" t="inlineStr">
        <is>
          <t>Fläche</t>
        </is>
      </c>
      <c r="J26" s="28" t="inlineStr"/>
    </row>
    <row r="27">
      <c r="B27" s="13" t="n">
        <v>22</v>
      </c>
      <c r="C27" s="13" t="inlineStr">
        <is>
          <t>Leerstandsanteil</t>
        </is>
      </c>
      <c r="D27" s="45" t="inlineStr">
        <is>
          <t>Nein</t>
        </is>
      </c>
      <c r="E27" s="24" t="inlineStr">
        <is>
          <t>Nein</t>
        </is>
      </c>
      <c r="F27" s="24" t="inlineStr">
        <is>
          <t>Nein</t>
        </is>
      </c>
      <c r="G27" s="24" t="inlineStr">
        <is>
          <t>Nein</t>
        </is>
      </c>
      <c r="H27" s="24" t="inlineStr">
        <is>
          <t>Nein</t>
        </is>
      </c>
      <c r="I27" s="24" t="inlineStr">
        <is>
          <t>Fläche</t>
        </is>
      </c>
      <c r="J27" s="28" t="inlineStr"/>
    </row>
    <row r="28">
      <c r="B28" s="13" t="n">
        <v>23</v>
      </c>
      <c r="C28" s="13" t="inlineStr">
        <is>
          <t>Finanzierung / Zinsen / AfA</t>
        </is>
      </c>
      <c r="D28" s="45" t="inlineStr">
        <is>
          <t>Nein</t>
        </is>
      </c>
      <c r="E28" s="24" t="inlineStr">
        <is>
          <t>Nein</t>
        </is>
      </c>
      <c r="F28" s="24" t="inlineStr">
        <is>
          <t>Nein</t>
        </is>
      </c>
      <c r="G28" s="24" t="inlineStr">
        <is>
          <t>Nein</t>
        </is>
      </c>
      <c r="H28" s="24" t="inlineStr">
        <is>
          <t>Nein</t>
        </is>
      </c>
      <c r="I28" s="24" t="inlineStr">
        <is>
          <t>Fläche</t>
        </is>
      </c>
      <c r="J28" s="28" t="inlineStr"/>
    </row>
    <row r="29">
      <c r="B29" s="13" t="n">
        <v>24</v>
      </c>
      <c r="C29" s="61" t="inlineStr">
        <is>
          <t>Einzelrechnung: Schaufensterreparatur EG links</t>
        </is>
      </c>
      <c r="D29" s="44" t="inlineStr">
        <is>
          <t>Ja</t>
        </is>
      </c>
      <c r="E29" s="24" t="inlineStr">
        <is>
          <t>Ja</t>
        </is>
      </c>
      <c r="F29" s="24" t="inlineStr">
        <is>
          <t>Nein</t>
        </is>
      </c>
      <c r="G29" s="24" t="inlineStr">
        <is>
          <t>Nein</t>
        </is>
      </c>
      <c r="H29" s="24" t="inlineStr">
        <is>
          <t>Nein</t>
        </is>
      </c>
      <c r="I29" s="24" t="inlineStr">
        <is>
          <t>Einzel</t>
        </is>
      </c>
      <c r="J29" s="28" t="inlineStr">
        <is>
          <t>Nur M1</t>
        </is>
      </c>
    </row>
    <row r="30">
      <c r="B30" s="13" t="n">
        <v>25</v>
      </c>
      <c r="C30" s="61" t="inlineStr">
        <is>
          <t>Einzelrechnung: Fettabscheider Gastro</t>
        </is>
      </c>
      <c r="D30" s="44" t="inlineStr">
        <is>
          <t>Ja</t>
        </is>
      </c>
      <c r="E30" s="24" t="inlineStr">
        <is>
          <t>Nein</t>
        </is>
      </c>
      <c r="F30" s="24" t="inlineStr">
        <is>
          <t>Nein</t>
        </is>
      </c>
      <c r="G30" s="24" t="inlineStr">
        <is>
          <t>Ja</t>
        </is>
      </c>
      <c r="H30" s="24" t="inlineStr">
        <is>
          <t>Nein</t>
        </is>
      </c>
      <c r="I30" s="24" t="inlineStr">
        <is>
          <t>Einzel</t>
        </is>
      </c>
      <c r="J30" s="28" t="inlineStr">
        <is>
          <t>Nur M3</t>
        </is>
      </c>
    </row>
    <row r="31">
      <c r="B31" s="13" t="n">
        <v>26</v>
      </c>
      <c r="C31" s="61" t="inlineStr">
        <is>
          <t>Einzelrechnung: Praxis-Klimagerät Wartung</t>
        </is>
      </c>
      <c r="D31" s="44" t="inlineStr">
        <is>
          <t>Ja</t>
        </is>
      </c>
      <c r="E31" s="24" t="inlineStr">
        <is>
          <t>Nein</t>
        </is>
      </c>
      <c r="F31" s="24" t="inlineStr">
        <is>
          <t>Nein</t>
        </is>
      </c>
      <c r="G31" s="24" t="inlineStr">
        <is>
          <t>Nein</t>
        </is>
      </c>
      <c r="H31" s="24" t="inlineStr">
        <is>
          <t>Ja</t>
        </is>
      </c>
      <c r="I31" s="24" t="inlineStr">
        <is>
          <t>Einzel</t>
        </is>
      </c>
      <c r="J31" s="28" t="inlineStr">
        <is>
          <t>Nur M4</t>
        </is>
      </c>
    </row>
    <row r="32">
      <c r="B32" s="13" t="n">
        <v>27</v>
      </c>
      <c r="C32" s="61" t="inlineStr">
        <is>
          <t>Einzelrechnung: (leer – hier eintragen)</t>
        </is>
      </c>
      <c r="D32" s="45" t="inlineStr">
        <is>
          <t>Nein</t>
        </is>
      </c>
      <c r="E32" s="24" t="inlineStr">
        <is>
          <t>Nein</t>
        </is>
      </c>
      <c r="F32" s="24" t="inlineStr">
        <is>
          <t>Nein</t>
        </is>
      </c>
      <c r="G32" s="24" t="inlineStr">
        <is>
          <t>Nein</t>
        </is>
      </c>
      <c r="H32" s="24" t="inlineStr">
        <is>
          <t>Nein</t>
        </is>
      </c>
      <c r="I32" s="24" t="inlineStr">
        <is>
          <t>Einzel</t>
        </is>
      </c>
      <c r="J32" s="28" t="inlineStr">
        <is>
          <t>Nur M1</t>
        </is>
      </c>
    </row>
    <row r="33">
      <c r="B33" s="13" t="n">
        <v>28</v>
      </c>
      <c r="C33" s="61" t="inlineStr">
        <is>
          <t>Einzelrechnung: (leer – hier eintragen)</t>
        </is>
      </c>
      <c r="D33" s="45" t="inlineStr">
        <is>
          <t>Nein</t>
        </is>
      </c>
      <c r="E33" s="24" t="inlineStr">
        <is>
          <t>Nein</t>
        </is>
      </c>
      <c r="F33" s="24" t="inlineStr">
        <is>
          <t>Nein</t>
        </is>
      </c>
      <c r="G33" s="24" t="inlineStr">
        <is>
          <t>Nein</t>
        </is>
      </c>
      <c r="H33" s="24" t="inlineStr">
        <is>
          <t>Nein</t>
        </is>
      </c>
      <c r="I33" s="24" t="inlineStr">
        <is>
          <t>Einzel</t>
        </is>
      </c>
      <c r="J33" s="28" t="inlineStr">
        <is>
          <t>Nur M2</t>
        </is>
      </c>
    </row>
    <row r="34">
      <c r="B34" s="13" t="n">
        <v>29</v>
      </c>
      <c r="C34" s="61" t="inlineStr">
        <is>
          <t>Einzelrechnung: (leer – hier eintragen)</t>
        </is>
      </c>
      <c r="D34" s="45" t="inlineStr">
        <is>
          <t>Nein</t>
        </is>
      </c>
      <c r="E34" s="24" t="inlineStr">
        <is>
          <t>Nein</t>
        </is>
      </c>
      <c r="F34" s="24" t="inlineStr">
        <is>
          <t>Nein</t>
        </is>
      </c>
      <c r="G34" s="24" t="inlineStr">
        <is>
          <t>Nein</t>
        </is>
      </c>
      <c r="H34" s="24" t="inlineStr">
        <is>
          <t>Nein</t>
        </is>
      </c>
      <c r="I34" s="24" t="inlineStr">
        <is>
          <t>Einzel</t>
        </is>
      </c>
      <c r="J34" s="28" t="inlineStr">
        <is>
          <t>Nur M3</t>
        </is>
      </c>
    </row>
    <row r="35">
      <c r="B35" s="13" t="n">
        <v>30</v>
      </c>
      <c r="C35" s="61" t="inlineStr">
        <is>
          <t>Einzelrechnung: (leer – hier eintragen)</t>
        </is>
      </c>
      <c r="D35" s="45" t="inlineStr">
        <is>
          <t>Nein</t>
        </is>
      </c>
      <c r="E35" s="24" t="inlineStr">
        <is>
          <t>Nein</t>
        </is>
      </c>
      <c r="F35" s="24" t="inlineStr">
        <is>
          <t>Nein</t>
        </is>
      </c>
      <c r="G35" s="24" t="inlineStr">
        <is>
          <t>Nein</t>
        </is>
      </c>
      <c r="H35" s="24" t="inlineStr">
        <is>
          <t>Nein</t>
        </is>
      </c>
      <c r="I35" s="24" t="inlineStr">
        <is>
          <t>Einzel</t>
        </is>
      </c>
      <c r="J35" s="28" t="inlineStr">
        <is>
          <t>Nur M4</t>
        </is>
      </c>
    </row>
    <row r="36">
      <c r="B36" s="13" t="n">
        <v>31</v>
      </c>
      <c r="C36" s="61" t="inlineStr">
        <is>
          <t>Einzelrechnung: (leer – hier eintragen)</t>
        </is>
      </c>
      <c r="D36" s="45" t="inlineStr">
        <is>
          <t>Nein</t>
        </is>
      </c>
      <c r="E36" s="24" t="inlineStr">
        <is>
          <t>Nein</t>
        </is>
      </c>
      <c r="F36" s="24" t="inlineStr">
        <is>
          <t>Nein</t>
        </is>
      </c>
      <c r="G36" s="24" t="inlineStr">
        <is>
          <t>Nein</t>
        </is>
      </c>
      <c r="H36" s="24" t="inlineStr">
        <is>
          <t>Nein</t>
        </is>
      </c>
      <c r="I36" s="24" t="inlineStr">
        <is>
          <t>Einzel</t>
        </is>
      </c>
      <c r="J36" s="28" t="inlineStr">
        <is>
          <t>Einzelumlage – Zuordnung in Kostenarten</t>
        </is>
      </c>
    </row>
    <row r="37">
      <c r="B37" s="82" t="n"/>
      <c r="C37" s="82" t="n"/>
      <c r="D37" s="82" t="n"/>
      <c r="E37" s="82" t="n"/>
      <c r="F37" s="82" t="n"/>
      <c r="G37" s="82" t="n"/>
      <c r="H37" s="82" t="n"/>
      <c r="I37" s="82" t="n"/>
      <c r="J37" s="82" t="n"/>
    </row>
    <row r="38">
      <c r="B38" s="82" t="n"/>
      <c r="C38" s="82" t="n"/>
      <c r="D38" s="82" t="n"/>
      <c r="E38" s="82" t="n"/>
      <c r="F38" s="82" t="n"/>
      <c r="G38" s="82" t="n"/>
      <c r="H38" s="82" t="n"/>
      <c r="I38" s="82" t="n"/>
      <c r="J38" s="82" t="n"/>
    </row>
    <row r="39">
      <c r="B39" s="82" t="n"/>
      <c r="C39" s="82" t="n"/>
      <c r="D39" s="82" t="n"/>
      <c r="E39" s="82" t="n"/>
      <c r="F39" s="82" t="n"/>
      <c r="G39" s="82" t="n"/>
      <c r="H39" s="82" t="n"/>
      <c r="I39" s="82" t="n"/>
      <c r="J39" s="82" t="n"/>
    </row>
    <row r="40">
      <c r="B40" s="82" t="n"/>
      <c r="C40" s="82" t="n"/>
      <c r="D40" s="82" t="n"/>
      <c r="E40" s="82" t="n"/>
      <c r="F40" s="82" t="n"/>
      <c r="G40" s="82" t="n"/>
      <c r="H40" s="82" t="n"/>
      <c r="I40" s="82" t="n"/>
      <c r="J40" s="82" t="n"/>
    </row>
    <row r="41">
      <c r="B41" s="82" t="n"/>
      <c r="C41" s="82" t="n"/>
      <c r="D41" s="82" t="n"/>
      <c r="E41" s="82" t="n"/>
      <c r="F41" s="82" t="n"/>
      <c r="G41" s="82" t="n"/>
      <c r="H41" s="82" t="n"/>
      <c r="I41" s="82" t="n"/>
      <c r="J41" s="82" t="n"/>
    </row>
    <row r="42">
      <c r="B42" s="82" t="n"/>
      <c r="C42" s="82" t="n"/>
      <c r="D42" s="82" t="n"/>
      <c r="E42" s="82" t="n"/>
      <c r="F42" s="82" t="n"/>
      <c r="G42" s="82" t="n"/>
      <c r="H42" s="82" t="n"/>
      <c r="I42" s="82" t="n"/>
      <c r="J42" s="82" t="n"/>
    </row>
    <row r="43">
      <c r="B43" s="82" t="n"/>
      <c r="C43" s="82" t="n"/>
      <c r="D43" s="82" t="n"/>
      <c r="E43" s="82" t="n"/>
      <c r="F43" s="82" t="n"/>
      <c r="G43" s="82" t="n"/>
      <c r="H43" s="82" t="n"/>
      <c r="I43" s="82" t="n"/>
      <c r="J43" s="82" t="n"/>
    </row>
    <row r="44">
      <c r="B44" s="82" t="n"/>
      <c r="C44" s="82" t="n"/>
      <c r="D44" s="82" t="n"/>
      <c r="E44" s="82" t="n"/>
      <c r="F44" s="82" t="n"/>
      <c r="G44" s="82" t="n"/>
      <c r="H44" s="82" t="n"/>
      <c r="I44" s="82" t="n"/>
      <c r="J44" s="82" t="n"/>
    </row>
    <row r="45">
      <c r="B45" s="82" t="n"/>
      <c r="C45" s="82" t="n"/>
      <c r="D45" s="82" t="n"/>
      <c r="E45" s="82" t="n"/>
      <c r="F45" s="82" t="n"/>
      <c r="G45" s="82" t="n"/>
      <c r="H45" s="82" t="n"/>
      <c r="I45" s="82" t="n"/>
      <c r="J45" s="82" t="n"/>
    </row>
    <row r="46">
      <c r="B46" s="82" t="n"/>
      <c r="C46" s="82" t="n"/>
      <c r="D46" s="82" t="n"/>
      <c r="E46" s="82" t="n"/>
      <c r="F46" s="82" t="n"/>
      <c r="G46" s="82" t="n"/>
      <c r="H46" s="82" t="n"/>
      <c r="I46" s="82" t="n"/>
      <c r="J46" s="82" t="n"/>
    </row>
    <row r="47">
      <c r="B47" s="82" t="n"/>
      <c r="C47" s="82" t="n"/>
      <c r="D47" s="82" t="n"/>
      <c r="E47" s="82" t="n"/>
      <c r="F47" s="82" t="n"/>
      <c r="G47" s="82" t="n"/>
      <c r="H47" s="82" t="n"/>
      <c r="I47" s="82" t="n"/>
      <c r="J47" s="82" t="n"/>
    </row>
    <row r="48">
      <c r="B48" s="82" t="n"/>
      <c r="C48" s="82" t="n"/>
      <c r="D48" s="82" t="n"/>
      <c r="E48" s="82" t="n"/>
      <c r="F48" s="82" t="n"/>
      <c r="G48" s="82" t="n"/>
      <c r="H48" s="82" t="n"/>
      <c r="I48" s="82" t="n"/>
      <c r="J48" s="82" t="n"/>
    </row>
    <row r="49">
      <c r="B49" s="82" t="n"/>
      <c r="C49" s="82" t="n"/>
      <c r="D49" s="82" t="n"/>
      <c r="E49" s="82" t="n"/>
      <c r="F49" s="82" t="n"/>
      <c r="G49" s="82" t="n"/>
      <c r="H49" s="82" t="n"/>
      <c r="I49" s="82" t="n"/>
      <c r="J49" s="82" t="n"/>
    </row>
    <row r="50">
      <c r="B50" s="82" t="n"/>
      <c r="C50" s="82" t="n"/>
      <c r="D50" s="82" t="n"/>
      <c r="E50" s="82" t="n"/>
      <c r="F50" s="82" t="n"/>
      <c r="G50" s="82" t="n"/>
      <c r="H50" s="82" t="n"/>
      <c r="I50" s="82" t="n"/>
      <c r="J50" s="82" t="n"/>
    </row>
    <row r="51">
      <c r="B51" s="82" t="n"/>
      <c r="C51" s="82" t="n"/>
      <c r="D51" s="82" t="n"/>
      <c r="E51" s="82" t="n"/>
      <c r="F51" s="82" t="n"/>
      <c r="G51" s="82" t="n"/>
      <c r="H51" s="82" t="n"/>
      <c r="I51" s="82" t="n"/>
      <c r="J51" s="82" t="n"/>
    </row>
    <row r="52">
      <c r="B52" s="82" t="n"/>
      <c r="C52" s="82" t="n"/>
      <c r="D52" s="82" t="n"/>
      <c r="E52" s="82" t="n"/>
      <c r="F52" s="82" t="n"/>
      <c r="G52" s="82" t="n"/>
      <c r="H52" s="82" t="n"/>
      <c r="I52" s="82" t="n"/>
      <c r="J52" s="82" t="n"/>
    </row>
    <row r="53">
      <c r="B53" s="82" t="n"/>
      <c r="C53" s="82" t="n"/>
      <c r="D53" s="82" t="n"/>
      <c r="E53" s="82" t="n"/>
      <c r="F53" s="82" t="n"/>
      <c r="G53" s="82" t="n"/>
      <c r="H53" s="82" t="n"/>
      <c r="I53" s="82" t="n"/>
      <c r="J53" s="82" t="n"/>
    </row>
    <row r="54">
      <c r="B54" s="82" t="n"/>
      <c r="C54" s="82" t="n"/>
      <c r="D54" s="82" t="n"/>
      <c r="E54" s="82" t="n"/>
      <c r="F54" s="82" t="n"/>
      <c r="G54" s="82" t="n"/>
      <c r="H54" s="82" t="n"/>
      <c r="I54" s="82" t="n"/>
      <c r="J54" s="82" t="n"/>
    </row>
    <row r="55">
      <c r="B55" s="82" t="n"/>
      <c r="C55" s="82" t="n"/>
      <c r="D55" s="82" t="n"/>
      <c r="E55" s="82" t="n"/>
      <c r="F55" s="82" t="n"/>
      <c r="G55" s="82" t="n"/>
      <c r="H55" s="82" t="n"/>
      <c r="I55" s="82" t="n"/>
      <c r="J55" s="82" t="n"/>
    </row>
    <row r="56">
      <c r="B56" s="82" t="n"/>
      <c r="C56" s="82" t="n"/>
      <c r="D56" s="82" t="n"/>
      <c r="E56" s="82" t="n"/>
      <c r="F56" s="82" t="n"/>
      <c r="G56" s="82" t="n"/>
      <c r="H56" s="82" t="n"/>
      <c r="I56" s="82" t="n"/>
      <c r="J56" s="82" t="n"/>
    </row>
    <row r="57">
      <c r="B57" s="82" t="n"/>
      <c r="C57" s="82" t="n"/>
      <c r="D57" s="82" t="n"/>
      <c r="E57" s="82" t="n"/>
      <c r="F57" s="82" t="n"/>
      <c r="G57" s="82" t="n"/>
      <c r="H57" s="82" t="n"/>
      <c r="I57" s="82" t="n"/>
      <c r="J57" s="82" t="n"/>
    </row>
    <row r="58">
      <c r="B58" s="82" t="n"/>
      <c r="C58" s="82" t="n"/>
      <c r="D58" s="82" t="n"/>
      <c r="E58" s="82" t="n"/>
      <c r="F58" s="82" t="n"/>
      <c r="G58" s="82" t="n"/>
      <c r="H58" s="82" t="n"/>
      <c r="I58" s="82" t="n"/>
      <c r="J58" s="82" t="n"/>
    </row>
    <row r="59">
      <c r="B59" s="82" t="n"/>
      <c r="C59" s="82" t="n"/>
      <c r="D59" s="82" t="n"/>
      <c r="E59" s="82" t="n"/>
      <c r="F59" s="82" t="n"/>
      <c r="G59" s="82" t="n"/>
      <c r="H59" s="82" t="n"/>
      <c r="I59" s="82" t="n"/>
      <c r="J59" s="82" t="n"/>
    </row>
    <row r="60">
      <c r="B60" s="82" t="n"/>
      <c r="C60" s="82" t="n"/>
      <c r="D60" s="82" t="n"/>
      <c r="E60" s="82" t="n"/>
      <c r="F60" s="82" t="n"/>
      <c r="G60" s="82" t="n"/>
      <c r="H60" s="82" t="n"/>
      <c r="I60" s="82" t="n"/>
      <c r="J60" s="82" t="n"/>
    </row>
    <row r="61">
      <c r="B61" s="82" t="n"/>
      <c r="C61" s="82" t="n"/>
      <c r="D61" s="82" t="n"/>
      <c r="E61" s="82" t="n"/>
      <c r="F61" s="82" t="n"/>
      <c r="G61" s="82" t="n"/>
      <c r="H61" s="82" t="n"/>
      <c r="I61" s="82" t="n"/>
      <c r="J61" s="82" t="n"/>
    </row>
    <row r="62">
      <c r="B62" s="82" t="n"/>
      <c r="C62" s="82" t="n"/>
      <c r="D62" s="82" t="n"/>
      <c r="E62" s="82" t="n"/>
      <c r="F62" s="82" t="n"/>
      <c r="G62" s="82" t="n"/>
      <c r="H62" s="82" t="n"/>
      <c r="I62" s="82" t="n"/>
      <c r="J62" s="82" t="n"/>
    </row>
    <row r="63">
      <c r="B63" s="82" t="n"/>
      <c r="C63" s="82" t="n"/>
      <c r="D63" s="82" t="n"/>
      <c r="E63" s="82" t="n"/>
      <c r="F63" s="82" t="n"/>
      <c r="G63" s="82" t="n"/>
      <c r="H63" s="82" t="n"/>
      <c r="I63" s="82" t="n"/>
      <c r="J63" s="82" t="n"/>
    </row>
    <row r="64">
      <c r="B64" s="82" t="n"/>
      <c r="C64" s="82" t="n"/>
      <c r="D64" s="82" t="n"/>
      <c r="E64" s="82" t="n"/>
      <c r="F64" s="82" t="n"/>
      <c r="G64" s="82" t="n"/>
      <c r="H64" s="82" t="n"/>
      <c r="I64" s="82" t="n"/>
      <c r="J64" s="82" t="n"/>
    </row>
    <row r="65">
      <c r="B65" s="82" t="n"/>
      <c r="C65" s="82" t="n"/>
      <c r="D65" s="82" t="n"/>
      <c r="E65" s="82" t="n"/>
      <c r="F65" s="82" t="n"/>
      <c r="G65" s="82" t="n"/>
      <c r="H65" s="82" t="n"/>
      <c r="I65" s="82" t="n"/>
      <c r="J65" s="82" t="n"/>
    </row>
    <row r="66">
      <c r="B66" s="82" t="n"/>
      <c r="C66" s="82" t="n"/>
      <c r="D66" s="82" t="n"/>
      <c r="E66" s="82" t="n"/>
      <c r="F66" s="82" t="n"/>
      <c r="G66" s="82" t="n"/>
      <c r="H66" s="82" t="n"/>
      <c r="I66" s="82" t="n"/>
      <c r="J66" s="82" t="n"/>
    </row>
    <row r="67">
      <c r="B67" s="82" t="n"/>
      <c r="C67" s="82" t="n"/>
      <c r="D67" s="82" t="n"/>
      <c r="E67" s="82" t="n"/>
      <c r="F67" s="82" t="n"/>
      <c r="G67" s="82" t="n"/>
      <c r="H67" s="82" t="n"/>
      <c r="I67" s="82" t="n"/>
      <c r="J67" s="82" t="n"/>
    </row>
    <row r="68">
      <c r="B68" s="82" t="n"/>
      <c r="C68" s="82" t="n"/>
      <c r="D68" s="82" t="n"/>
      <c r="E68" s="82" t="n"/>
      <c r="F68" s="82" t="n"/>
      <c r="G68" s="82" t="n"/>
      <c r="H68" s="82" t="n"/>
      <c r="I68" s="82" t="n"/>
      <c r="J68" s="82" t="n"/>
    </row>
    <row r="69">
      <c r="B69" s="82" t="n"/>
      <c r="C69" s="82" t="n"/>
      <c r="D69" s="82" t="n"/>
      <c r="E69" s="82" t="n"/>
      <c r="F69" s="82" t="n"/>
      <c r="G69" s="82" t="n"/>
      <c r="H69" s="82" t="n"/>
      <c r="I69" s="82" t="n"/>
      <c r="J69" s="82" t="n"/>
    </row>
    <row r="70">
      <c r="B70" s="82" t="n"/>
      <c r="C70" s="82" t="n"/>
      <c r="D70" s="82" t="n"/>
      <c r="E70" s="82" t="n"/>
      <c r="F70" s="82" t="n"/>
      <c r="G70" s="82" t="n"/>
      <c r="H70" s="82" t="n"/>
      <c r="I70" s="82" t="n"/>
      <c r="J70" s="82" t="n"/>
    </row>
    <row r="71">
      <c r="B71" s="82" t="n"/>
      <c r="C71" s="82" t="n"/>
      <c r="D71" s="82" t="n"/>
      <c r="E71" s="82" t="n"/>
      <c r="F71" s="82" t="n"/>
      <c r="G71" s="82" t="n"/>
      <c r="H71" s="82" t="n"/>
      <c r="I71" s="82" t="n"/>
      <c r="J71" s="82" t="n"/>
    </row>
    <row r="72">
      <c r="B72" s="82" t="n"/>
      <c r="C72" s="82" t="n"/>
      <c r="D72" s="82" t="n"/>
      <c r="E72" s="82" t="n"/>
      <c r="F72" s="82" t="n"/>
      <c r="G72" s="82" t="n"/>
      <c r="H72" s="82" t="n"/>
      <c r="I72" s="82" t="n"/>
      <c r="J72" s="82" t="n"/>
    </row>
    <row r="73">
      <c r="B73" s="82" t="n"/>
      <c r="C73" s="82" t="n"/>
      <c r="D73" s="82" t="n"/>
      <c r="E73" s="82" t="n"/>
      <c r="F73" s="82" t="n"/>
      <c r="G73" s="82" t="n"/>
      <c r="H73" s="82" t="n"/>
      <c r="I73" s="82" t="n"/>
      <c r="J73" s="82" t="n"/>
    </row>
    <row r="74">
      <c r="B74" s="82" t="n"/>
      <c r="C74" s="82" t="n"/>
      <c r="D74" s="82" t="n"/>
      <c r="E74" s="82" t="n"/>
      <c r="F74" s="82" t="n"/>
      <c r="G74" s="82" t="n"/>
      <c r="H74" s="82" t="n"/>
      <c r="I74" s="82" t="n"/>
      <c r="J74" s="82" t="n"/>
    </row>
    <row r="75">
      <c r="B75" s="82" t="n"/>
      <c r="C75" s="82" t="n"/>
      <c r="D75" s="82" t="n"/>
      <c r="E75" s="82" t="n"/>
      <c r="F75" s="82" t="n"/>
      <c r="G75" s="82" t="n"/>
      <c r="H75" s="82" t="n"/>
      <c r="I75" s="82" t="n"/>
      <c r="J75" s="82" t="n"/>
    </row>
    <row r="76">
      <c r="B76" s="82" t="n"/>
      <c r="C76" s="82" t="n"/>
      <c r="D76" s="82" t="n"/>
      <c r="E76" s="82" t="n"/>
      <c r="F76" s="82" t="n"/>
      <c r="G76" s="82" t="n"/>
      <c r="H76" s="82" t="n"/>
      <c r="I76" s="82" t="n"/>
      <c r="J76" s="82" t="n"/>
    </row>
    <row r="77">
      <c r="B77" s="82" t="n"/>
      <c r="C77" s="82" t="n"/>
      <c r="D77" s="82" t="n"/>
      <c r="E77" s="82" t="n"/>
      <c r="F77" s="82" t="n"/>
      <c r="G77" s="82" t="n"/>
      <c r="H77" s="82" t="n"/>
      <c r="I77" s="82" t="n"/>
      <c r="J77" s="82" t="n"/>
    </row>
    <row r="78">
      <c r="B78" s="82" t="n"/>
      <c r="C78" s="82" t="n"/>
      <c r="D78" s="82" t="n"/>
      <c r="E78" s="82" t="n"/>
      <c r="F78" s="82" t="n"/>
      <c r="G78" s="82" t="n"/>
      <c r="H78" s="82" t="n"/>
      <c r="I78" s="82" t="n"/>
      <c r="J78" s="82" t="n"/>
    </row>
    <row r="79">
      <c r="B79" s="82" t="n"/>
      <c r="C79" s="82" t="n"/>
      <c r="D79" s="82" t="n"/>
      <c r="E79" s="82" t="n"/>
      <c r="F79" s="82" t="n"/>
      <c r="G79" s="82" t="n"/>
      <c r="H79" s="82" t="n"/>
      <c r="I79" s="82" t="n"/>
      <c r="J79" s="82" t="n"/>
    </row>
  </sheetData>
  <conditionalFormatting sqref="D6:H40">
    <cfRule type="expression" priority="1" dxfId="0">
      <formula>D6="Ja"</formula>
    </cfRule>
    <cfRule type="expression" priority="2" dxfId="1">
      <formula>D6="Nein"</formula>
    </cfRule>
  </conditionalFormatting>
  <conditionalFormatting sqref="D6:H80">
    <cfRule type="expression" priority="3" dxfId="0">
      <formula>D6="Ja"</formula>
    </cfRule>
    <cfRule type="expression" priority="4" dxfId="1">
      <formula>D6="Nein"</formula>
    </cfRule>
  </conditionalFormatting>
  <dataValidations count="6">
    <dataValidation sqref="D6:H40" showDropDown="0" showInputMessage="0" showErrorMessage="0" allowBlank="1" type="list">
      <formula1>"Ja,Nein"</formula1>
    </dataValidation>
    <dataValidation sqref="I6:I40" showDropDown="0" showInputMessage="0" showErrorMessage="0" allowBlank="1" type="list">
      <formula1>"Fläche,Verbrauch,Nutzerzahl,Mischschlüssel"</formula1>
    </dataValidation>
    <dataValidation sqref="D6:H80" showDropDown="0" showInputMessage="0" showErrorMessage="0" allowBlank="1" type="list">
      <formula1>"Ja,Nein"</formula1>
    </dataValidation>
    <dataValidation sqref="I6:I80" showDropDown="0" showInputMessage="0" showErrorMessage="0" allowBlank="1" type="list">
      <formula1>"Fläche,Verbrauch,Nutzerzahl,Mischschlüssel,Einzel"</formula1>
    </dataValidation>
    <dataValidation sqref="D6:H80" showDropDown="0" showInputMessage="0" showErrorMessage="0" allowBlank="1" type="list">
      <formula1>"Ja,Nein"</formula1>
    </dataValidation>
    <dataValidation sqref="I6:I80" showDropDown="0" showInputMessage="0" showErrorMessage="0" allowBlank="1" type="list">
      <formula1>"Fläche,Verbrauch,Nutzerzahl,Mischschlüssel,Einzel"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R39"/>
  <sheetViews>
    <sheetView showGridLines="0"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5" customWidth="1" min="2" max="2"/>
    <col width="44" customWidth="1" min="3" max="3"/>
    <col width="11" customWidth="1" min="4" max="4"/>
    <col width="12" customWidth="1" min="5" max="5"/>
    <col width="14" customWidth="1" min="6" max="6"/>
    <col width="12" customWidth="1" min="7" max="7"/>
    <col width="14" customWidth="1" min="8" max="8"/>
    <col width="11" customWidth="1" min="9" max="9"/>
    <col width="10" customWidth="1" min="10" max="10"/>
    <col width="10" customWidth="1" min="11" max="11"/>
    <col width="10" customWidth="1" min="12" max="12"/>
    <col width="10" customWidth="1" min="13" max="13"/>
    <col width="13" customWidth="1" min="14" max="14"/>
    <col width="13" customWidth="1" min="15" max="15"/>
    <col width="13" customWidth="1" min="16" max="16"/>
    <col width="13" customWidth="1" min="17" max="17"/>
    <col width="22" customWidth="1" min="18" max="18"/>
  </cols>
  <sheetData>
    <row r="2">
      <c r="B2" s="1" t="inlineStr">
        <is>
          <t>Kostenarten inkl. Zuordnung für Einzelrechnungen (nur ein Mieter)</t>
        </is>
      </c>
    </row>
    <row r="3">
      <c r="B3" s="2" t="inlineStr">
        <is>
          <t>Zuordnung = Alle → Schlüssel (Fläche/Verbrauch). Zuordnung = M1/M2/M3/M4 → 100 % nur dieser Mieter, fließt in Abr_MieterX. Lila = Einzelumlage.</t>
        </is>
      </c>
    </row>
    <row r="5" ht="38" customHeight="1">
      <c r="B5" s="11" t="inlineStr">
        <is>
          <t>Nr</t>
        </is>
      </c>
      <c r="C5" s="11" t="inlineStr">
        <is>
          <t>Kostenart</t>
        </is>
      </c>
      <c r="D5" s="11" t="inlineStr">
        <is>
          <t>Umlagefähig?</t>
        </is>
      </c>
      <c r="E5" s="62" t="inlineStr">
        <is>
          <t>Zuordnung</t>
        </is>
      </c>
      <c r="F5" s="11" t="inlineStr">
        <is>
          <t>Gesamt netto €</t>
        </is>
      </c>
      <c r="G5" s="11" t="inlineStr">
        <is>
          <t>nicht umlagef. €</t>
        </is>
      </c>
      <c r="H5" s="11" t="inlineStr">
        <is>
          <t>Umlagefähig €</t>
        </is>
      </c>
      <c r="I5" s="11" t="inlineStr">
        <is>
          <t>Schlüssel</t>
        </is>
      </c>
      <c r="J5" s="40" t="inlineStr">
        <is>
          <t>Anteil M1</t>
        </is>
      </c>
      <c r="K5" s="41" t="inlineStr">
        <is>
          <t>Anteil M2</t>
        </is>
      </c>
      <c r="L5" s="42" t="inlineStr">
        <is>
          <t>Anteil M3</t>
        </is>
      </c>
      <c r="M5" s="43" t="inlineStr">
        <is>
          <t>Anteil M4</t>
        </is>
      </c>
      <c r="N5" s="40" t="inlineStr">
        <is>
          <t>Betrag M1 €</t>
        </is>
      </c>
      <c r="O5" s="41" t="inlineStr">
        <is>
          <t>Betrag M2 €</t>
        </is>
      </c>
      <c r="P5" s="42" t="inlineStr">
        <is>
          <t>Betrag M3 €</t>
        </is>
      </c>
      <c r="Q5" s="43" t="inlineStr">
        <is>
          <t>Betrag M4 €</t>
        </is>
      </c>
      <c r="R5" s="11" t="inlineStr">
        <is>
          <t>Beleg / Rechnungsnr.</t>
        </is>
      </c>
    </row>
    <row r="6">
      <c r="B6" s="13" t="n">
        <v>1</v>
      </c>
      <c r="C6" s="13" t="inlineStr">
        <is>
          <t>Grundsteuer</t>
        </is>
      </c>
      <c r="D6" s="44" t="inlineStr">
        <is>
          <t>Ja</t>
        </is>
      </c>
      <c r="E6" s="24" t="inlineStr">
        <is>
          <t>Alle</t>
        </is>
      </c>
      <c r="F6" s="58" t="n">
        <v>9600</v>
      </c>
      <c r="G6" s="58" t="n">
        <v>0</v>
      </c>
      <c r="H6" s="56">
        <f>IF(D6="Ja",MAX(0,F6-G6),0)</f>
        <v/>
      </c>
      <c r="I6" s="24" t="inlineStr">
        <is>
          <t>Fläche</t>
        </is>
      </c>
      <c r="J6" s="35">
        <f>IF($E6="Alle",IF($I6="Fläche",Mieter!F6,0),IF($E6="M1",1,0))</f>
        <v/>
      </c>
      <c r="K6" s="35">
        <f>IF($E6="Alle",IF($I6="Fläche",Mieter!F7,0),IF($E6="M2",1,0))</f>
        <v/>
      </c>
      <c r="L6" s="35">
        <f>IF($E6="Alle",IF($I6="Fläche",Mieter!F8,0),IF($E6="M3",1,0))</f>
        <v/>
      </c>
      <c r="M6" s="35">
        <f>IF($E6="Alle",IF($I6="Fläche",Mieter!F9,0),IF($E6="M4",1,0))</f>
        <v/>
      </c>
      <c r="N6" s="56">
        <f>IF('Vertrags-Matrix'!E6="Ja",$H6*J6,0)</f>
        <v/>
      </c>
      <c r="O6" s="56">
        <f>IF('Vertrags-Matrix'!F6="Ja",$H6*K6,0)</f>
        <v/>
      </c>
      <c r="P6" s="56">
        <f>IF('Vertrags-Matrix'!G6="Ja",$H6*L6,0)</f>
        <v/>
      </c>
      <c r="Q6" s="56">
        <f>IF('Vertrags-Matrix'!H6="Ja",$H6*M6,0)</f>
        <v/>
      </c>
      <c r="R6" s="28" t="n"/>
    </row>
    <row r="7">
      <c r="B7" s="13" t="n">
        <v>2</v>
      </c>
      <c r="C7" s="13" t="inlineStr">
        <is>
          <t>Wasser / Abwasser</t>
        </is>
      </c>
      <c r="D7" s="44" t="inlineStr">
        <is>
          <t>Ja</t>
        </is>
      </c>
      <c r="E7" s="24" t="inlineStr">
        <is>
          <t>Alle</t>
        </is>
      </c>
      <c r="F7" s="58" t="n">
        <v>6400</v>
      </c>
      <c r="G7" s="58" t="n">
        <v>0</v>
      </c>
      <c r="H7" s="56">
        <f>IF(D7="Ja",MAX(0,F7-G7),0)</f>
        <v/>
      </c>
      <c r="I7" s="24" t="inlineStr">
        <is>
          <t>Verbrauch</t>
        </is>
      </c>
      <c r="J7" s="35">
        <f>IF($E7="Alle",0.2,IF($E7="M1",1,0))</f>
        <v/>
      </c>
      <c r="K7" s="35">
        <f>IF($E7="Alle",0.15,IF($E7="M2",1,0))</f>
        <v/>
      </c>
      <c r="L7" s="35">
        <f>IF($E7="Alle",0.4,IF($E7="M3",1,0))</f>
        <v/>
      </c>
      <c r="M7" s="35">
        <f>IF($E7="Alle",0.25,IF($E7="M4",1,0))</f>
        <v/>
      </c>
      <c r="N7" s="56">
        <f>IF('Vertrags-Matrix'!E7="Ja",$H7*J7,0)</f>
        <v/>
      </c>
      <c r="O7" s="56">
        <f>IF('Vertrags-Matrix'!F7="Ja",$H7*K7,0)</f>
        <v/>
      </c>
      <c r="P7" s="56">
        <f>IF('Vertrags-Matrix'!G7="Ja",$H7*L7,0)</f>
        <v/>
      </c>
      <c r="Q7" s="56">
        <f>IF('Vertrags-Matrix'!H7="Ja",$H7*M7,0)</f>
        <v/>
      </c>
      <c r="R7" s="28" t="n"/>
    </row>
    <row r="8">
      <c r="B8" s="13" t="n">
        <v>3</v>
      </c>
      <c r="C8" s="13" t="inlineStr">
        <is>
          <t>Heizung / Warmwasser</t>
        </is>
      </c>
      <c r="D8" s="44" t="inlineStr">
        <is>
          <t>Ja</t>
        </is>
      </c>
      <c r="E8" s="24" t="inlineStr">
        <is>
          <t>Alle</t>
        </is>
      </c>
      <c r="F8" s="58" t="n">
        <v>28000</v>
      </c>
      <c r="G8" s="58" t="n">
        <v>0</v>
      </c>
      <c r="H8" s="56">
        <f>IF(D8="Ja",MAX(0,F8-G8),0)</f>
        <v/>
      </c>
      <c r="I8" s="24" t="inlineStr">
        <is>
          <t>Verbrauch</t>
        </is>
      </c>
      <c r="J8" s="35">
        <f>IF($E8="Alle",0.22,IF($E8="M1",1,0))</f>
        <v/>
      </c>
      <c r="K8" s="35">
        <f>IF($E8="Alle",0.18,IF($E8="M2",1,0))</f>
        <v/>
      </c>
      <c r="L8" s="35">
        <f>IF($E8="Alle",0.35,IF($E8="M3",1,0))</f>
        <v/>
      </c>
      <c r="M8" s="35">
        <f>IF($E8="Alle",0.25,IF($E8="M4",1,0))</f>
        <v/>
      </c>
      <c r="N8" s="56">
        <f>IF('Vertrags-Matrix'!E8="Ja",$H8*J8,0)</f>
        <v/>
      </c>
      <c r="O8" s="56">
        <f>IF('Vertrags-Matrix'!F8="Ja",$H8*K8,0)</f>
        <v/>
      </c>
      <c r="P8" s="56">
        <f>IF('Vertrags-Matrix'!G8="Ja",$H8*L8,0)</f>
        <v/>
      </c>
      <c r="Q8" s="56">
        <f>IF('Vertrags-Matrix'!H8="Ja",$H8*M8,0)</f>
        <v/>
      </c>
      <c r="R8" s="28" t="n"/>
    </row>
    <row r="9">
      <c r="B9" s="13" t="n">
        <v>4</v>
      </c>
      <c r="C9" s="13" t="inlineStr">
        <is>
          <t>Straßenreinigung / Müll</t>
        </is>
      </c>
      <c r="D9" s="44" t="inlineStr">
        <is>
          <t>Ja</t>
        </is>
      </c>
      <c r="E9" s="24" t="inlineStr">
        <is>
          <t>Alle</t>
        </is>
      </c>
      <c r="F9" s="58" t="n">
        <v>4200</v>
      </c>
      <c r="G9" s="58" t="n">
        <v>0</v>
      </c>
      <c r="H9" s="56">
        <f>IF(D9="Ja",MAX(0,F9-G9),0)</f>
        <v/>
      </c>
      <c r="I9" s="24" t="inlineStr">
        <is>
          <t>Fläche</t>
        </is>
      </c>
      <c r="J9" s="35">
        <f>IF($E9="Alle",IF($I9="Fläche",Mieter!F6,0),IF($E9="M1",1,0))</f>
        <v/>
      </c>
      <c r="K9" s="35">
        <f>IF($E9="Alle",IF($I9="Fläche",Mieter!F7,0),IF($E9="M2",1,0))</f>
        <v/>
      </c>
      <c r="L9" s="35">
        <f>IF($E9="Alle",IF($I9="Fläche",Mieter!F8,0),IF($E9="M3",1,0))</f>
        <v/>
      </c>
      <c r="M9" s="35">
        <f>IF($E9="Alle",IF($I9="Fläche",Mieter!F9,0),IF($E9="M4",1,0))</f>
        <v/>
      </c>
      <c r="N9" s="56">
        <f>IF('Vertrags-Matrix'!E9="Ja",$H9*J9,0)</f>
        <v/>
      </c>
      <c r="O9" s="56">
        <f>IF('Vertrags-Matrix'!F9="Ja",$H9*K9,0)</f>
        <v/>
      </c>
      <c r="P9" s="56">
        <f>IF('Vertrags-Matrix'!G9="Ja",$H9*L9,0)</f>
        <v/>
      </c>
      <c r="Q9" s="56">
        <f>IF('Vertrags-Matrix'!H9="Ja",$H9*M9,0)</f>
        <v/>
      </c>
      <c r="R9" s="28" t="n"/>
    </row>
    <row r="10">
      <c r="B10" s="13" t="n">
        <v>5</v>
      </c>
      <c r="C10" s="13" t="inlineStr">
        <is>
          <t>Gebäudeversicherung</t>
        </is>
      </c>
      <c r="D10" s="44" t="inlineStr">
        <is>
          <t>Ja</t>
        </is>
      </c>
      <c r="E10" s="24" t="inlineStr">
        <is>
          <t>Alle</t>
        </is>
      </c>
      <c r="F10" s="58" t="n">
        <v>7200</v>
      </c>
      <c r="G10" s="58" t="n">
        <v>0</v>
      </c>
      <c r="H10" s="56">
        <f>IF(D10="Ja",MAX(0,F10-G10),0)</f>
        <v/>
      </c>
      <c r="I10" s="24" t="inlineStr">
        <is>
          <t>Fläche</t>
        </is>
      </c>
      <c r="J10" s="35">
        <f>IF($E10="Alle",IF($I10="Fläche",Mieter!F6,0),IF($E10="M1",1,0))</f>
        <v/>
      </c>
      <c r="K10" s="35">
        <f>IF($E10="Alle",IF($I10="Fläche",Mieter!F7,0),IF($E10="M2",1,0))</f>
        <v/>
      </c>
      <c r="L10" s="35">
        <f>IF($E10="Alle",IF($I10="Fläche",Mieter!F8,0),IF($E10="M3",1,0))</f>
        <v/>
      </c>
      <c r="M10" s="35">
        <f>IF($E10="Alle",IF($I10="Fläche",Mieter!F9,0),IF($E10="M4",1,0))</f>
        <v/>
      </c>
      <c r="N10" s="56">
        <f>IF('Vertrags-Matrix'!E10="Ja",$H10*J10,0)</f>
        <v/>
      </c>
      <c r="O10" s="56">
        <f>IF('Vertrags-Matrix'!F10="Ja",$H10*K10,0)</f>
        <v/>
      </c>
      <c r="P10" s="56">
        <f>IF('Vertrags-Matrix'!G10="Ja",$H10*L10,0)</f>
        <v/>
      </c>
      <c r="Q10" s="56">
        <f>IF('Vertrags-Matrix'!H10="Ja",$H10*M10,0)</f>
        <v/>
      </c>
      <c r="R10" s="28" t="n"/>
    </row>
    <row r="11">
      <c r="B11" s="13" t="n">
        <v>6</v>
      </c>
      <c r="C11" s="13" t="inlineStr">
        <is>
          <t>Haftpflicht Gebäude</t>
        </is>
      </c>
      <c r="D11" s="44" t="inlineStr">
        <is>
          <t>Ja</t>
        </is>
      </c>
      <c r="E11" s="24" t="inlineStr">
        <is>
          <t>Alle</t>
        </is>
      </c>
      <c r="F11" s="58" t="n">
        <v>1800</v>
      </c>
      <c r="G11" s="58" t="n">
        <v>0</v>
      </c>
      <c r="H11" s="56">
        <f>IF(D11="Ja",MAX(0,F11-G11),0)</f>
        <v/>
      </c>
      <c r="I11" s="24" t="inlineStr">
        <is>
          <t>Fläche</t>
        </is>
      </c>
      <c r="J11" s="35">
        <f>IF($E11="Alle",IF($I11="Fläche",Mieter!F6,0),IF($E11="M1",1,0))</f>
        <v/>
      </c>
      <c r="K11" s="35">
        <f>IF($E11="Alle",IF($I11="Fläche",Mieter!F7,0),IF($E11="M2",1,0))</f>
        <v/>
      </c>
      <c r="L11" s="35">
        <f>IF($E11="Alle",IF($I11="Fläche",Mieter!F8,0),IF($E11="M3",1,0))</f>
        <v/>
      </c>
      <c r="M11" s="35">
        <f>IF($E11="Alle",IF($I11="Fläche",Mieter!F9,0),IF($E11="M4",1,0))</f>
        <v/>
      </c>
      <c r="N11" s="56">
        <f>IF('Vertrags-Matrix'!E11="Ja",$H11*J11,0)</f>
        <v/>
      </c>
      <c r="O11" s="56">
        <f>IF('Vertrags-Matrix'!F11="Ja",$H11*K11,0)</f>
        <v/>
      </c>
      <c r="P11" s="56">
        <f>IF('Vertrags-Matrix'!G11="Ja",$H11*L11,0)</f>
        <v/>
      </c>
      <c r="Q11" s="56">
        <f>IF('Vertrags-Matrix'!H11="Ja",$H11*M11,0)</f>
        <v/>
      </c>
      <c r="R11" s="28" t="n"/>
    </row>
    <row r="12">
      <c r="B12" s="13" t="n">
        <v>7</v>
      </c>
      <c r="C12" s="13" t="inlineStr">
        <is>
          <t>Hausmeister / Facility</t>
        </is>
      </c>
      <c r="D12" s="44" t="inlineStr">
        <is>
          <t>Ja</t>
        </is>
      </c>
      <c r="E12" s="24" t="inlineStr">
        <is>
          <t>Alle</t>
        </is>
      </c>
      <c r="F12" s="58" t="n">
        <v>16800</v>
      </c>
      <c r="G12" s="58" t="n">
        <v>0</v>
      </c>
      <c r="H12" s="56">
        <f>IF(D12="Ja",MAX(0,F12-G12),0)</f>
        <v/>
      </c>
      <c r="I12" s="24" t="inlineStr">
        <is>
          <t>Fläche</t>
        </is>
      </c>
      <c r="J12" s="35">
        <f>IF($E12="Alle",IF($I12="Fläche",Mieter!F6,0),IF($E12="M1",1,0))</f>
        <v/>
      </c>
      <c r="K12" s="35">
        <f>IF($E12="Alle",IF($I12="Fläche",Mieter!F7,0),IF($E12="M2",1,0))</f>
        <v/>
      </c>
      <c r="L12" s="35">
        <f>IF($E12="Alle",IF($I12="Fläche",Mieter!F8,0),IF($E12="M3",1,0))</f>
        <v/>
      </c>
      <c r="M12" s="35">
        <f>IF($E12="Alle",IF($I12="Fläche",Mieter!F9,0),IF($E12="M4",1,0))</f>
        <v/>
      </c>
      <c r="N12" s="56">
        <f>IF('Vertrags-Matrix'!E12="Ja",$H12*J12,0)</f>
        <v/>
      </c>
      <c r="O12" s="56">
        <f>IF('Vertrags-Matrix'!F12="Ja",$H12*K12,0)</f>
        <v/>
      </c>
      <c r="P12" s="56">
        <f>IF('Vertrags-Matrix'!G12="Ja",$H12*L12,0)</f>
        <v/>
      </c>
      <c r="Q12" s="56">
        <f>IF('Vertrags-Matrix'!H12="Ja",$H12*M12,0)</f>
        <v/>
      </c>
      <c r="R12" s="28" t="n"/>
    </row>
    <row r="13">
      <c r="B13" s="13" t="n">
        <v>8</v>
      </c>
      <c r="C13" s="13" t="inlineStr">
        <is>
          <t>Gartenpflege / Außenanlagen</t>
        </is>
      </c>
      <c r="D13" s="44" t="inlineStr">
        <is>
          <t>Ja</t>
        </is>
      </c>
      <c r="E13" s="24" t="inlineStr">
        <is>
          <t>Alle</t>
        </is>
      </c>
      <c r="F13" s="58" t="n">
        <v>3600</v>
      </c>
      <c r="G13" s="58" t="n">
        <v>0</v>
      </c>
      <c r="H13" s="56">
        <f>IF(D13="Ja",MAX(0,F13-G13),0)</f>
        <v/>
      </c>
      <c r="I13" s="24" t="inlineStr">
        <is>
          <t>Fläche</t>
        </is>
      </c>
      <c r="J13" s="35">
        <f>IF($E13="Alle",IF($I13="Fläche",Mieter!F6,0),IF($E13="M1",1,0))</f>
        <v/>
      </c>
      <c r="K13" s="35">
        <f>IF($E13="Alle",IF($I13="Fläche",Mieter!F7,0),IF($E13="M2",1,0))</f>
        <v/>
      </c>
      <c r="L13" s="35">
        <f>IF($E13="Alle",IF($I13="Fläche",Mieter!F8,0),IF($E13="M3",1,0))</f>
        <v/>
      </c>
      <c r="M13" s="35">
        <f>IF($E13="Alle",IF($I13="Fläche",Mieter!F9,0),IF($E13="M4",1,0))</f>
        <v/>
      </c>
      <c r="N13" s="56">
        <f>IF('Vertrags-Matrix'!E13="Ja",$H13*J13,0)</f>
        <v/>
      </c>
      <c r="O13" s="56">
        <f>IF('Vertrags-Matrix'!F13="Ja",$H13*K13,0)</f>
        <v/>
      </c>
      <c r="P13" s="56">
        <f>IF('Vertrags-Matrix'!G13="Ja",$H13*L13,0)</f>
        <v/>
      </c>
      <c r="Q13" s="56">
        <f>IF('Vertrags-Matrix'!H13="Ja",$H13*M13,0)</f>
        <v/>
      </c>
      <c r="R13" s="28" t="n"/>
    </row>
    <row r="14">
      <c r="B14" s="13" t="n">
        <v>9</v>
      </c>
      <c r="C14" s="13" t="inlineStr">
        <is>
          <t>Aufzug Wartung</t>
        </is>
      </c>
      <c r="D14" s="44" t="inlineStr">
        <is>
          <t>Ja</t>
        </is>
      </c>
      <c r="E14" s="24" t="inlineStr">
        <is>
          <t>Alle</t>
        </is>
      </c>
      <c r="F14" s="58" t="n">
        <v>4800</v>
      </c>
      <c r="G14" s="58" t="n">
        <v>0</v>
      </c>
      <c r="H14" s="56">
        <f>IF(D14="Ja",MAX(0,F14-G14),0)</f>
        <v/>
      </c>
      <c r="I14" s="24" t="inlineStr">
        <is>
          <t>Fläche</t>
        </is>
      </c>
      <c r="J14" s="35">
        <f>IF($E14="Alle",IF($I14="Fläche",Mieter!F6,0),IF($E14="M1",1,0))</f>
        <v/>
      </c>
      <c r="K14" s="35">
        <f>IF($E14="Alle",IF($I14="Fläche",Mieter!F7,0),IF($E14="M2",1,0))</f>
        <v/>
      </c>
      <c r="L14" s="35">
        <f>IF($E14="Alle",IF($I14="Fläche",Mieter!F8,0),IF($E14="M3",1,0))</f>
        <v/>
      </c>
      <c r="M14" s="35">
        <f>IF($E14="Alle",IF($I14="Fläche",Mieter!F9,0),IF($E14="M4",1,0))</f>
        <v/>
      </c>
      <c r="N14" s="56">
        <f>IF('Vertrags-Matrix'!E14="Ja",$H14*J14,0)</f>
        <v/>
      </c>
      <c r="O14" s="56">
        <f>IF('Vertrags-Matrix'!F14="Ja",$H14*K14,0)</f>
        <v/>
      </c>
      <c r="P14" s="56">
        <f>IF('Vertrags-Matrix'!G14="Ja",$H14*L14,0)</f>
        <v/>
      </c>
      <c r="Q14" s="56">
        <f>IF('Vertrags-Matrix'!H14="Ja",$H14*M14,0)</f>
        <v/>
      </c>
      <c r="R14" s="28" t="n"/>
    </row>
    <row r="15">
      <c r="B15" s="13" t="n">
        <v>10</v>
      </c>
      <c r="C15" s="13" t="inlineStr">
        <is>
          <t>Aufzug Instandsetzung</t>
        </is>
      </c>
      <c r="D15" s="45" t="inlineStr">
        <is>
          <t>Nein</t>
        </is>
      </c>
      <c r="E15" s="24" t="inlineStr">
        <is>
          <t>Alle</t>
        </is>
      </c>
      <c r="F15" s="58" t="n">
        <v>0</v>
      </c>
      <c r="G15" s="58" t="n">
        <v>0</v>
      </c>
      <c r="H15" s="56">
        <f>IF(D15="Ja",MAX(0,F15-G15),0)</f>
        <v/>
      </c>
      <c r="I15" s="24" t="inlineStr">
        <is>
          <t>Fläche</t>
        </is>
      </c>
      <c r="J15" s="35">
        <f>IF($E15="Alle",0,IF($E15="M1",1,0))</f>
        <v/>
      </c>
      <c r="K15" s="35">
        <f>IF($E15="Alle",0,IF($E15="M2",1,0))</f>
        <v/>
      </c>
      <c r="L15" s="35">
        <f>IF($E15="Alle",0,IF($E15="M3",1,0))</f>
        <v/>
      </c>
      <c r="M15" s="35">
        <f>IF($E15="Alle",0,IF($E15="M4",1,0))</f>
        <v/>
      </c>
      <c r="N15" s="56">
        <f>IF('Vertrags-Matrix'!E15="Ja",$H15*J15,0)</f>
        <v/>
      </c>
      <c r="O15" s="56">
        <f>IF('Vertrags-Matrix'!F15="Ja",$H15*K15,0)</f>
        <v/>
      </c>
      <c r="P15" s="56">
        <f>IF('Vertrags-Matrix'!G15="Ja",$H15*L15,0)</f>
        <v/>
      </c>
      <c r="Q15" s="56">
        <f>IF('Vertrags-Matrix'!H15="Ja",$H15*M15,0)</f>
        <v/>
      </c>
      <c r="R15" s="28" t="n"/>
    </row>
    <row r="16">
      <c r="B16" s="13" t="n">
        <v>11</v>
      </c>
      <c r="C16" s="13" t="inlineStr">
        <is>
          <t>Klima- / Lüftungsanlage Wartung</t>
        </is>
      </c>
      <c r="D16" s="44" t="inlineStr">
        <is>
          <t>Ja</t>
        </is>
      </c>
      <c r="E16" s="24" t="inlineStr">
        <is>
          <t>Alle</t>
        </is>
      </c>
      <c r="F16" s="58" t="n">
        <v>6200</v>
      </c>
      <c r="G16" s="58" t="n">
        <v>0</v>
      </c>
      <c r="H16" s="56">
        <f>IF(D16="Ja",MAX(0,F16-G16),0)</f>
        <v/>
      </c>
      <c r="I16" s="24" t="inlineStr">
        <is>
          <t>Fläche</t>
        </is>
      </c>
      <c r="J16" s="35">
        <f>IF($E16="Alle",IF($I16="Fläche",Mieter!F6,0),IF($E16="M1",1,0))</f>
        <v/>
      </c>
      <c r="K16" s="35">
        <f>IF($E16="Alle",IF($I16="Fläche",Mieter!F7,0),IF($E16="M2",1,0))</f>
        <v/>
      </c>
      <c r="L16" s="35">
        <f>IF($E16="Alle",IF($I16="Fläche",Mieter!F8,0),IF($E16="M3",1,0))</f>
        <v/>
      </c>
      <c r="M16" s="35">
        <f>IF($E16="Alle",IF($I16="Fläche",Mieter!F9,0),IF($E16="M4",1,0))</f>
        <v/>
      </c>
      <c r="N16" s="56">
        <f>IF('Vertrags-Matrix'!E16="Ja",$H16*J16,0)</f>
        <v/>
      </c>
      <c r="O16" s="56">
        <f>IF('Vertrags-Matrix'!F16="Ja",$H16*K16,0)</f>
        <v/>
      </c>
      <c r="P16" s="56">
        <f>IF('Vertrags-Matrix'!G16="Ja",$H16*L16,0)</f>
        <v/>
      </c>
      <c r="Q16" s="56">
        <f>IF('Vertrags-Matrix'!H16="Ja",$H16*M16,0)</f>
        <v/>
      </c>
      <c r="R16" s="28" t="n"/>
    </row>
    <row r="17">
      <c r="B17" s="13" t="n">
        <v>12</v>
      </c>
      <c r="C17" s="13" t="inlineStr">
        <is>
          <t>Brandschutz / Sicherheitstechnik</t>
        </is>
      </c>
      <c r="D17" s="44" t="inlineStr">
        <is>
          <t>Ja</t>
        </is>
      </c>
      <c r="E17" s="24" t="inlineStr">
        <is>
          <t>Alle</t>
        </is>
      </c>
      <c r="F17" s="58" t="n">
        <v>3000</v>
      </c>
      <c r="G17" s="58" t="n">
        <v>0</v>
      </c>
      <c r="H17" s="56">
        <f>IF(D17="Ja",MAX(0,F17-G17),0)</f>
        <v/>
      </c>
      <c r="I17" s="24" t="inlineStr">
        <is>
          <t>Fläche</t>
        </is>
      </c>
      <c r="J17" s="35">
        <f>IF($E17="Alle",IF($I17="Fläche",Mieter!F6,0),IF($E17="M1",1,0))</f>
        <v/>
      </c>
      <c r="K17" s="35">
        <f>IF($E17="Alle",IF($I17="Fläche",Mieter!F7,0),IF($E17="M2",1,0))</f>
        <v/>
      </c>
      <c r="L17" s="35">
        <f>IF($E17="Alle",IF($I17="Fläche",Mieter!F8,0),IF($E17="M3",1,0))</f>
        <v/>
      </c>
      <c r="M17" s="35">
        <f>IF($E17="Alle",IF($I17="Fläche",Mieter!F9,0),IF($E17="M4",1,0))</f>
        <v/>
      </c>
      <c r="N17" s="56">
        <f>IF('Vertrags-Matrix'!E17="Ja",$H17*J17,0)</f>
        <v/>
      </c>
      <c r="O17" s="56">
        <f>IF('Vertrags-Matrix'!F17="Ja",$H17*K17,0)</f>
        <v/>
      </c>
      <c r="P17" s="56">
        <f>IF('Vertrags-Matrix'!G17="Ja",$H17*L17,0)</f>
        <v/>
      </c>
      <c r="Q17" s="56">
        <f>IF('Vertrags-Matrix'!H17="Ja",$H17*M17,0)</f>
        <v/>
      </c>
      <c r="R17" s="28" t="n"/>
    </row>
    <row r="18">
      <c r="B18" s="13" t="n">
        <v>13</v>
      </c>
      <c r="C18" s="13" t="inlineStr">
        <is>
          <t>Sicherheit / Bewachung</t>
        </is>
      </c>
      <c r="D18" s="44" t="inlineStr">
        <is>
          <t>Ja</t>
        </is>
      </c>
      <c r="E18" s="24" t="inlineStr">
        <is>
          <t>Alle</t>
        </is>
      </c>
      <c r="F18" s="58" t="n">
        <v>12000</v>
      </c>
      <c r="G18" s="58" t="n">
        <v>0</v>
      </c>
      <c r="H18" s="56">
        <f>IF(D18="Ja",MAX(0,F18-G18),0)</f>
        <v/>
      </c>
      <c r="I18" s="24" t="inlineStr">
        <is>
          <t>Fläche</t>
        </is>
      </c>
      <c r="J18" s="35">
        <f>IF($E18="Alle",IF($I18="Fläche",Mieter!F6,0),IF($E18="M1",1,0))</f>
        <v/>
      </c>
      <c r="K18" s="35">
        <f>IF($E18="Alle",IF($I18="Fläche",Mieter!F7,0),IF($E18="M2",1,0))</f>
        <v/>
      </c>
      <c r="L18" s="35">
        <f>IF($E18="Alle",IF($I18="Fläche",Mieter!F8,0),IF($E18="M3",1,0))</f>
        <v/>
      </c>
      <c r="M18" s="35">
        <f>IF($E18="Alle",IF($I18="Fläche",Mieter!F9,0),IF($E18="M4",1,0))</f>
        <v/>
      </c>
      <c r="N18" s="56">
        <f>IF('Vertrags-Matrix'!E18="Ja",$H18*J18,0)</f>
        <v/>
      </c>
      <c r="O18" s="56">
        <f>IF('Vertrags-Matrix'!F18="Ja",$H18*K18,0)</f>
        <v/>
      </c>
      <c r="P18" s="56">
        <f>IF('Vertrags-Matrix'!G18="Ja",$H18*L18,0)</f>
        <v/>
      </c>
      <c r="Q18" s="56">
        <f>IF('Vertrags-Matrix'!H18="Ja",$H18*M18,0)</f>
        <v/>
      </c>
      <c r="R18" s="28" t="n"/>
    </row>
    <row r="19">
      <c r="B19" s="13" t="n">
        <v>14</v>
      </c>
      <c r="C19" s="13" t="inlineStr">
        <is>
          <t>Reinigung Gemeinschaftsflächen</t>
        </is>
      </c>
      <c r="D19" s="44" t="inlineStr">
        <is>
          <t>Ja</t>
        </is>
      </c>
      <c r="E19" s="24" t="inlineStr">
        <is>
          <t>Alle</t>
        </is>
      </c>
      <c r="F19" s="58" t="n">
        <v>9600</v>
      </c>
      <c r="G19" s="58" t="n">
        <v>0</v>
      </c>
      <c r="H19" s="56">
        <f>IF(D19="Ja",MAX(0,F19-G19),0)</f>
        <v/>
      </c>
      <c r="I19" s="24" t="inlineStr">
        <is>
          <t>Fläche</t>
        </is>
      </c>
      <c r="J19" s="35">
        <f>IF($E19="Alle",IF($I19="Fläche",Mieter!F6,0),IF($E19="M1",1,0))</f>
        <v/>
      </c>
      <c r="K19" s="35">
        <f>IF($E19="Alle",IF($I19="Fläche",Mieter!F7,0),IF($E19="M2",1,0))</f>
        <v/>
      </c>
      <c r="L19" s="35">
        <f>IF($E19="Alle",IF($I19="Fläche",Mieter!F8,0),IF($E19="M3",1,0))</f>
        <v/>
      </c>
      <c r="M19" s="35">
        <f>IF($E19="Alle",IF($I19="Fläche",Mieter!F9,0),IF($E19="M4",1,0))</f>
        <v/>
      </c>
      <c r="N19" s="56">
        <f>IF('Vertrags-Matrix'!E19="Ja",$H19*J19,0)</f>
        <v/>
      </c>
      <c r="O19" s="56">
        <f>IF('Vertrags-Matrix'!F19="Ja",$H19*K19,0)</f>
        <v/>
      </c>
      <c r="P19" s="56">
        <f>IF('Vertrags-Matrix'!G19="Ja",$H19*L19,0)</f>
        <v/>
      </c>
      <c r="Q19" s="56">
        <f>IF('Vertrags-Matrix'!H19="Ja",$H19*M19,0)</f>
        <v/>
      </c>
      <c r="R19" s="28" t="n"/>
    </row>
    <row r="20">
      <c r="B20" s="13" t="n">
        <v>15</v>
      </c>
      <c r="C20" s="13" t="inlineStr">
        <is>
          <t>Beleuchtung Allgemein</t>
        </is>
      </c>
      <c r="D20" s="44" t="inlineStr">
        <is>
          <t>Ja</t>
        </is>
      </c>
      <c r="E20" s="24" t="inlineStr">
        <is>
          <t>Alle</t>
        </is>
      </c>
      <c r="F20" s="58" t="n">
        <v>4400</v>
      </c>
      <c r="G20" s="58" t="n">
        <v>0</v>
      </c>
      <c r="H20" s="56">
        <f>IF(D20="Ja",MAX(0,F20-G20),0)</f>
        <v/>
      </c>
      <c r="I20" s="24" t="inlineStr">
        <is>
          <t>Fläche</t>
        </is>
      </c>
      <c r="J20" s="35">
        <f>IF($E20="Alle",IF($I20="Fläche",Mieter!F6,0),IF($E20="M1",1,0))</f>
        <v/>
      </c>
      <c r="K20" s="35">
        <f>IF($E20="Alle",IF($I20="Fläche",Mieter!F7,0),IF($E20="M2",1,0))</f>
        <v/>
      </c>
      <c r="L20" s="35">
        <f>IF($E20="Alle",IF($I20="Fläche",Mieter!F8,0),IF($E20="M3",1,0))</f>
        <v/>
      </c>
      <c r="M20" s="35">
        <f>IF($E20="Alle",IF($I20="Fläche",Mieter!F9,0),IF($E20="M4",1,0))</f>
        <v/>
      </c>
      <c r="N20" s="56">
        <f>IF('Vertrags-Matrix'!E20="Ja",$H20*J20,0)</f>
        <v/>
      </c>
      <c r="O20" s="56">
        <f>IF('Vertrags-Matrix'!F20="Ja",$H20*K20,0)</f>
        <v/>
      </c>
      <c r="P20" s="56">
        <f>IF('Vertrags-Matrix'!G20="Ja",$H20*L20,0)</f>
        <v/>
      </c>
      <c r="Q20" s="56">
        <f>IF('Vertrags-Matrix'!H20="Ja",$H20*M20,0)</f>
        <v/>
      </c>
      <c r="R20" s="28" t="n"/>
    </row>
    <row r="21">
      <c r="B21" s="13" t="n">
        <v>16</v>
      </c>
      <c r="C21" s="13" t="inlineStr">
        <is>
          <t>Niederschlagswasser</t>
        </is>
      </c>
      <c r="D21" s="44" t="inlineStr">
        <is>
          <t>Ja</t>
        </is>
      </c>
      <c r="E21" s="24" t="inlineStr">
        <is>
          <t>Alle</t>
        </is>
      </c>
      <c r="F21" s="58" t="n">
        <v>1400</v>
      </c>
      <c r="G21" s="58" t="n">
        <v>0</v>
      </c>
      <c r="H21" s="56">
        <f>IF(D21="Ja",MAX(0,F21-G21),0)</f>
        <v/>
      </c>
      <c r="I21" s="24" t="inlineStr">
        <is>
          <t>Fläche</t>
        </is>
      </c>
      <c r="J21" s="35">
        <f>IF($E21="Alle",IF($I21="Fläche",Mieter!F6,0),IF($E21="M1",1,0))</f>
        <v/>
      </c>
      <c r="K21" s="35">
        <f>IF($E21="Alle",IF($I21="Fläche",Mieter!F7,0),IF($E21="M2",1,0))</f>
        <v/>
      </c>
      <c r="L21" s="35">
        <f>IF($E21="Alle",IF($I21="Fläche",Mieter!F8,0),IF($E21="M3",1,0))</f>
        <v/>
      </c>
      <c r="M21" s="35">
        <f>IF($E21="Alle",IF($I21="Fläche",Mieter!F9,0),IF($E21="M4",1,0))</f>
        <v/>
      </c>
      <c r="N21" s="56">
        <f>IF('Vertrags-Matrix'!E21="Ja",$H21*J21,0)</f>
        <v/>
      </c>
      <c r="O21" s="56">
        <f>IF('Vertrags-Matrix'!F21="Ja",$H21*K21,0)</f>
        <v/>
      </c>
      <c r="P21" s="56">
        <f>IF('Vertrags-Matrix'!G21="Ja",$H21*L21,0)</f>
        <v/>
      </c>
      <c r="Q21" s="56">
        <f>IF('Vertrags-Matrix'!H21="Ja",$H21*M21,0)</f>
        <v/>
      </c>
      <c r="R21" s="28" t="n"/>
    </row>
    <row r="22">
      <c r="B22" s="13" t="n">
        <v>17</v>
      </c>
      <c r="C22" s="13" t="inlineStr">
        <is>
          <t>Verwaltungskosten</t>
        </is>
      </c>
      <c r="D22" s="44" t="inlineStr">
        <is>
          <t>Ja</t>
        </is>
      </c>
      <c r="E22" s="24" t="inlineStr">
        <is>
          <t>Alle</t>
        </is>
      </c>
      <c r="F22" s="58" t="n">
        <v>8400</v>
      </c>
      <c r="G22" s="58" t="n">
        <v>0</v>
      </c>
      <c r="H22" s="56">
        <f>IF(D22="Ja",MAX(0,F22-G22),0)</f>
        <v/>
      </c>
      <c r="I22" s="24" t="inlineStr">
        <is>
          <t>Fläche</t>
        </is>
      </c>
      <c r="J22" s="35">
        <f>IF($E22="Alle",IF($I22="Fläche",Mieter!F6,0),IF($E22="M1",1,0))</f>
        <v/>
      </c>
      <c r="K22" s="35">
        <f>IF($E22="Alle",IF($I22="Fläche",Mieter!F7,0),IF($E22="M2",1,0))</f>
        <v/>
      </c>
      <c r="L22" s="35">
        <f>IF($E22="Alle",IF($I22="Fläche",Mieter!F8,0),IF($E22="M3",1,0))</f>
        <v/>
      </c>
      <c r="M22" s="35">
        <f>IF($E22="Alle",IF($I22="Fläche",Mieter!F9,0),IF($E22="M4",1,0))</f>
        <v/>
      </c>
      <c r="N22" s="56">
        <f>IF('Vertrags-Matrix'!E22="Ja",$H22*J22,0)</f>
        <v/>
      </c>
      <c r="O22" s="56">
        <f>IF('Vertrags-Matrix'!F22="Ja",$H22*K22,0)</f>
        <v/>
      </c>
      <c r="P22" s="56">
        <f>IF('Vertrags-Matrix'!G22="Ja",$H22*L22,0)</f>
        <v/>
      </c>
      <c r="Q22" s="56">
        <f>IF('Vertrags-Matrix'!H22="Ja",$H22*M22,0)</f>
        <v/>
      </c>
      <c r="R22" s="28" t="n"/>
    </row>
    <row r="23">
      <c r="B23" s="13" t="n">
        <v>18</v>
      </c>
      <c r="C23" s="13" t="inlineStr">
        <is>
          <t>Werbegemeinschaft / Center-Umlage</t>
        </is>
      </c>
      <c r="D23" s="45" t="inlineStr">
        <is>
          <t>Nein</t>
        </is>
      </c>
      <c r="E23" s="24" t="inlineStr">
        <is>
          <t>Alle</t>
        </is>
      </c>
      <c r="F23" s="58" t="n">
        <v>0</v>
      </c>
      <c r="G23" s="58" t="n">
        <v>0</v>
      </c>
      <c r="H23" s="56">
        <f>IF(D23="Ja",MAX(0,F23-G23),0)</f>
        <v/>
      </c>
      <c r="I23" s="24" t="inlineStr">
        <is>
          <t>Fläche</t>
        </is>
      </c>
      <c r="J23" s="35">
        <f>IF($E23="Alle",0,IF($E23="M1",1,0))</f>
        <v/>
      </c>
      <c r="K23" s="35">
        <f>IF($E23="Alle",0,IF($E23="M2",1,0))</f>
        <v/>
      </c>
      <c r="L23" s="35">
        <f>IF($E23="Alle",0,IF($E23="M3",1,0))</f>
        <v/>
      </c>
      <c r="M23" s="35">
        <f>IF($E23="Alle",0,IF($E23="M4",1,0))</f>
        <v/>
      </c>
      <c r="N23" s="56">
        <f>IF('Vertrags-Matrix'!E23="Ja",$H23*J23,0)</f>
        <v/>
      </c>
      <c r="O23" s="56">
        <f>IF('Vertrags-Matrix'!F23="Ja",$H23*K23,0)</f>
        <v/>
      </c>
      <c r="P23" s="56">
        <f>IF('Vertrags-Matrix'!G23="Ja",$H23*L23,0)</f>
        <v/>
      </c>
      <c r="Q23" s="56">
        <f>IF('Vertrags-Matrix'!H23="Ja",$H23*M23,0)</f>
        <v/>
      </c>
      <c r="R23" s="28" t="n"/>
    </row>
    <row r="24">
      <c r="B24" s="13" t="n">
        <v>19</v>
      </c>
      <c r="C24" s="13" t="inlineStr">
        <is>
          <t>Instandhaltung pauschal</t>
        </is>
      </c>
      <c r="D24" s="45" t="inlineStr">
        <is>
          <t>Nein</t>
        </is>
      </c>
      <c r="E24" s="24" t="inlineStr">
        <is>
          <t>Alle</t>
        </is>
      </c>
      <c r="F24" s="58" t="n">
        <v>0</v>
      </c>
      <c r="G24" s="58" t="n">
        <v>0</v>
      </c>
      <c r="H24" s="56">
        <f>IF(D24="Ja",MAX(0,F24-G24),0)</f>
        <v/>
      </c>
      <c r="I24" s="24" t="inlineStr">
        <is>
          <t>Fläche</t>
        </is>
      </c>
      <c r="J24" s="35">
        <f>IF($E24="Alle",0,IF($E24="M1",1,0))</f>
        <v/>
      </c>
      <c r="K24" s="35">
        <f>IF($E24="Alle",0,IF($E24="M2",1,0))</f>
        <v/>
      </c>
      <c r="L24" s="35">
        <f>IF($E24="Alle",0,IF($E24="M3",1,0))</f>
        <v/>
      </c>
      <c r="M24" s="35">
        <f>IF($E24="Alle",0,IF($E24="M4",1,0))</f>
        <v/>
      </c>
      <c r="N24" s="56">
        <f>IF('Vertrags-Matrix'!E24="Ja",$H24*J24,0)</f>
        <v/>
      </c>
      <c r="O24" s="56">
        <f>IF('Vertrags-Matrix'!F24="Ja",$H24*K24,0)</f>
        <v/>
      </c>
      <c r="P24" s="56">
        <f>IF('Vertrags-Matrix'!G24="Ja",$H24*L24,0)</f>
        <v/>
      </c>
      <c r="Q24" s="56">
        <f>IF('Vertrags-Matrix'!H24="Ja",$H24*M24,0)</f>
        <v/>
      </c>
      <c r="R24" s="28" t="n"/>
    </row>
    <row r="25">
      <c r="B25" s="13" t="n">
        <v>20</v>
      </c>
      <c r="C25" s="13" t="inlineStr">
        <is>
          <t>Schornstein / Kehrgebühren</t>
        </is>
      </c>
      <c r="D25" s="44" t="inlineStr">
        <is>
          <t>Ja</t>
        </is>
      </c>
      <c r="E25" s="24" t="inlineStr">
        <is>
          <t>Alle</t>
        </is>
      </c>
      <c r="F25" s="58" t="n">
        <v>700</v>
      </c>
      <c r="G25" s="58" t="n">
        <v>0</v>
      </c>
      <c r="H25" s="56">
        <f>IF(D25="Ja",MAX(0,F25-G25),0)</f>
        <v/>
      </c>
      <c r="I25" s="24" t="inlineStr">
        <is>
          <t>Fläche</t>
        </is>
      </c>
      <c r="J25" s="35">
        <f>IF($E25="Alle",IF($I25="Fläche",Mieter!F6,0),IF($E25="M1",1,0))</f>
        <v/>
      </c>
      <c r="K25" s="35">
        <f>IF($E25="Alle",IF($I25="Fläche",Mieter!F7,0),IF($E25="M2",1,0))</f>
        <v/>
      </c>
      <c r="L25" s="35">
        <f>IF($E25="Alle",IF($I25="Fläche",Mieter!F8,0),IF($E25="M3",1,0))</f>
        <v/>
      </c>
      <c r="M25" s="35">
        <f>IF($E25="Alle",IF($I25="Fläche",Mieter!F9,0),IF($E25="M4",1,0))</f>
        <v/>
      </c>
      <c r="N25" s="56">
        <f>IF('Vertrags-Matrix'!E25="Ja",$H25*J25,0)</f>
        <v/>
      </c>
      <c r="O25" s="56">
        <f>IF('Vertrags-Matrix'!F25="Ja",$H25*K25,0)</f>
        <v/>
      </c>
      <c r="P25" s="56">
        <f>IF('Vertrags-Matrix'!G25="Ja",$H25*L25,0)</f>
        <v/>
      </c>
      <c r="Q25" s="56">
        <f>IF('Vertrags-Matrix'!H25="Ja",$H25*M25,0)</f>
        <v/>
      </c>
      <c r="R25" s="28" t="n"/>
    </row>
    <row r="26">
      <c r="B26" s="13" t="n">
        <v>21</v>
      </c>
      <c r="C26" s="13" t="inlineStr">
        <is>
          <t>WEG-Hausgeld umlagefähiger Anteil</t>
        </is>
      </c>
      <c r="D26" s="44" t="inlineStr">
        <is>
          <t>Ja</t>
        </is>
      </c>
      <c r="E26" s="24" t="inlineStr">
        <is>
          <t>Alle</t>
        </is>
      </c>
      <c r="F26" s="58" t="n">
        <v>0</v>
      </c>
      <c r="G26" s="58" t="n">
        <v>0</v>
      </c>
      <c r="H26" s="56">
        <f>IF(D26="Ja",MAX(0,F26-G26),0)</f>
        <v/>
      </c>
      <c r="I26" s="24" t="inlineStr">
        <is>
          <t>Fläche</t>
        </is>
      </c>
      <c r="J26" s="35">
        <f>IF($E26="Alle",IF($I26="Fläche",Mieter!F6,0),IF($E26="M1",1,0))</f>
        <v/>
      </c>
      <c r="K26" s="35">
        <f>IF($E26="Alle",IF($I26="Fläche",Mieter!F7,0),IF($E26="M2",1,0))</f>
        <v/>
      </c>
      <c r="L26" s="35">
        <f>IF($E26="Alle",IF($I26="Fläche",Mieter!F8,0),IF($E26="M3",1,0))</f>
        <v/>
      </c>
      <c r="M26" s="35">
        <f>IF($E26="Alle",IF($I26="Fläche",Mieter!F9,0),IF($E26="M4",1,0))</f>
        <v/>
      </c>
      <c r="N26" s="56">
        <f>IF('Vertrags-Matrix'!E26="Ja",$H26*J26,0)</f>
        <v/>
      </c>
      <c r="O26" s="56">
        <f>IF('Vertrags-Matrix'!F26="Ja",$H26*K26,0)</f>
        <v/>
      </c>
      <c r="P26" s="56">
        <f>IF('Vertrags-Matrix'!G26="Ja",$H26*L26,0)</f>
        <v/>
      </c>
      <c r="Q26" s="56">
        <f>IF('Vertrags-Matrix'!H26="Ja",$H26*M26,0)</f>
        <v/>
      </c>
      <c r="R26" s="28" t="n"/>
    </row>
    <row r="27">
      <c r="B27" s="13" t="n">
        <v>22</v>
      </c>
      <c r="C27" s="13" t="inlineStr">
        <is>
          <t>Leerstandsanteil</t>
        </is>
      </c>
      <c r="D27" s="45" t="inlineStr">
        <is>
          <t>Nein</t>
        </is>
      </c>
      <c r="E27" s="24" t="inlineStr">
        <is>
          <t>Alle</t>
        </is>
      </c>
      <c r="F27" s="58" t="n">
        <v>0</v>
      </c>
      <c r="G27" s="58" t="n">
        <v>0</v>
      </c>
      <c r="H27" s="56">
        <f>IF(D27="Ja",MAX(0,F27-G27),0)</f>
        <v/>
      </c>
      <c r="I27" s="24" t="inlineStr">
        <is>
          <t>Fläche</t>
        </is>
      </c>
      <c r="J27" s="35">
        <f>IF($E27="Alle",0,IF($E27="M1",1,0))</f>
        <v/>
      </c>
      <c r="K27" s="35">
        <f>IF($E27="Alle",0,IF($E27="M2",1,0))</f>
        <v/>
      </c>
      <c r="L27" s="35">
        <f>IF($E27="Alle",0,IF($E27="M3",1,0))</f>
        <v/>
      </c>
      <c r="M27" s="35">
        <f>IF($E27="Alle",0,IF($E27="M4",1,0))</f>
        <v/>
      </c>
      <c r="N27" s="56">
        <f>IF('Vertrags-Matrix'!E27="Ja",$H27*J27,0)</f>
        <v/>
      </c>
      <c r="O27" s="56">
        <f>IF('Vertrags-Matrix'!F27="Ja",$H27*K27,0)</f>
        <v/>
      </c>
      <c r="P27" s="56">
        <f>IF('Vertrags-Matrix'!G27="Ja",$H27*L27,0)</f>
        <v/>
      </c>
      <c r="Q27" s="56">
        <f>IF('Vertrags-Matrix'!H27="Ja",$H27*M27,0)</f>
        <v/>
      </c>
      <c r="R27" s="28" t="n"/>
    </row>
    <row r="28">
      <c r="B28" s="13" t="n">
        <v>23</v>
      </c>
      <c r="C28" s="13" t="inlineStr">
        <is>
          <t>Finanzierung / Zinsen / AfA</t>
        </is>
      </c>
      <c r="D28" s="45" t="inlineStr">
        <is>
          <t>Nein</t>
        </is>
      </c>
      <c r="E28" s="24" t="inlineStr">
        <is>
          <t>Alle</t>
        </is>
      </c>
      <c r="F28" s="58" t="n">
        <v>0</v>
      </c>
      <c r="G28" s="58" t="n">
        <v>0</v>
      </c>
      <c r="H28" s="56">
        <f>IF(D28="Ja",MAX(0,F28-G28),0)</f>
        <v/>
      </c>
      <c r="I28" s="24" t="inlineStr">
        <is>
          <t>Fläche</t>
        </is>
      </c>
      <c r="J28" s="35">
        <f>IF($E28="Alle",0,IF($E28="M1",1,0))</f>
        <v/>
      </c>
      <c r="K28" s="35">
        <f>IF($E28="Alle",0,IF($E28="M2",1,0))</f>
        <v/>
      </c>
      <c r="L28" s="35">
        <f>IF($E28="Alle",0,IF($E28="M3",1,0))</f>
        <v/>
      </c>
      <c r="M28" s="35">
        <f>IF($E28="Alle",0,IF($E28="M4",1,0))</f>
        <v/>
      </c>
      <c r="N28" s="56">
        <f>IF('Vertrags-Matrix'!E28="Ja",$H28*J28,0)</f>
        <v/>
      </c>
      <c r="O28" s="56">
        <f>IF('Vertrags-Matrix'!F28="Ja",$H28*K28,0)</f>
        <v/>
      </c>
      <c r="P28" s="56">
        <f>IF('Vertrags-Matrix'!G28="Ja",$H28*L28,0)</f>
        <v/>
      </c>
      <c r="Q28" s="56">
        <f>IF('Vertrags-Matrix'!H28="Ja",$H28*M28,0)</f>
        <v/>
      </c>
      <c r="R28" s="28" t="n"/>
    </row>
    <row r="29">
      <c r="B29" s="13" t="n">
        <v>24</v>
      </c>
      <c r="C29" s="61" t="inlineStr">
        <is>
          <t>Einzelrechnung: Schaufensterreparatur EG links</t>
        </is>
      </c>
      <c r="D29" s="44" t="inlineStr">
        <is>
          <t>Ja</t>
        </is>
      </c>
      <c r="E29" s="63" t="inlineStr">
        <is>
          <t>M1</t>
        </is>
      </c>
      <c r="F29" s="58" t="n">
        <v>1250</v>
      </c>
      <c r="G29" s="58" t="n">
        <v>0</v>
      </c>
      <c r="H29" s="56">
        <f>IF(D29="Ja",MAX(0,F29-G29),0)</f>
        <v/>
      </c>
      <c r="I29" s="24" t="inlineStr">
        <is>
          <t>Einzel</t>
        </is>
      </c>
      <c r="J29" s="35">
        <f>IF($E29="Alle",0,IF($E29="M1",1,0))</f>
        <v/>
      </c>
      <c r="K29" s="35">
        <f>IF($E29="Alle",0,IF($E29="M2",1,0))</f>
        <v/>
      </c>
      <c r="L29" s="35">
        <f>IF($E29="Alle",0,IF($E29="M3",1,0))</f>
        <v/>
      </c>
      <c r="M29" s="35">
        <f>IF($E29="Alle",0,IF($E29="M4",1,0))</f>
        <v/>
      </c>
      <c r="N29" s="56">
        <f>IF('Vertrags-Matrix'!E29="Ja",$H29*J29,0)</f>
        <v/>
      </c>
      <c r="O29" s="56">
        <f>IF('Vertrags-Matrix'!F29="Ja",$H29*K29,0)</f>
        <v/>
      </c>
      <c r="P29" s="56">
        <f>IF('Vertrags-Matrix'!G29="Ja",$H29*L29,0)</f>
        <v/>
      </c>
      <c r="Q29" s="56">
        <f>IF('Vertrags-Matrix'!H29="Ja",$H29*M29,0)</f>
        <v/>
      </c>
      <c r="R29" s="28" t="inlineStr">
        <is>
          <t>Beispiel-Einzelrechnung</t>
        </is>
      </c>
    </row>
    <row r="30">
      <c r="B30" s="13" t="n">
        <v>25</v>
      </c>
      <c r="C30" s="61" t="inlineStr">
        <is>
          <t>Einzelrechnung: Fettabscheider Gastro</t>
        </is>
      </c>
      <c r="D30" s="44" t="inlineStr">
        <is>
          <t>Ja</t>
        </is>
      </c>
      <c r="E30" s="63" t="inlineStr">
        <is>
          <t>M3</t>
        </is>
      </c>
      <c r="F30" s="58" t="n">
        <v>890</v>
      </c>
      <c r="G30" s="58" t="n">
        <v>0</v>
      </c>
      <c r="H30" s="56">
        <f>IF(D30="Ja",MAX(0,F30-G30),0)</f>
        <v/>
      </c>
      <c r="I30" s="24" t="inlineStr">
        <is>
          <t>Einzel</t>
        </is>
      </c>
      <c r="J30" s="35">
        <f>IF($E30="Alle",0,IF($E30="M1",1,0))</f>
        <v/>
      </c>
      <c r="K30" s="35">
        <f>IF($E30="Alle",0,IF($E30="M2",1,0))</f>
        <v/>
      </c>
      <c r="L30" s="35">
        <f>IF($E30="Alle",0,IF($E30="M3",1,0))</f>
        <v/>
      </c>
      <c r="M30" s="35">
        <f>IF($E30="Alle",0,IF($E30="M4",1,0))</f>
        <v/>
      </c>
      <c r="N30" s="56">
        <f>IF('Vertrags-Matrix'!E30="Ja",$H30*J30,0)</f>
        <v/>
      </c>
      <c r="O30" s="56">
        <f>IF('Vertrags-Matrix'!F30="Ja",$H30*K30,0)</f>
        <v/>
      </c>
      <c r="P30" s="56">
        <f>IF('Vertrags-Matrix'!G30="Ja",$H30*L30,0)</f>
        <v/>
      </c>
      <c r="Q30" s="56">
        <f>IF('Vertrags-Matrix'!H30="Ja",$H30*M30,0)</f>
        <v/>
      </c>
      <c r="R30" s="28" t="inlineStr">
        <is>
          <t>Beispiel-Einzelrechnung</t>
        </is>
      </c>
    </row>
    <row r="31">
      <c r="B31" s="13" t="n">
        <v>26</v>
      </c>
      <c r="C31" s="61" t="inlineStr">
        <is>
          <t>Einzelrechnung: Praxis-Klimagerät Wartung</t>
        </is>
      </c>
      <c r="D31" s="44" t="inlineStr">
        <is>
          <t>Ja</t>
        </is>
      </c>
      <c r="E31" s="63" t="inlineStr">
        <is>
          <t>M4</t>
        </is>
      </c>
      <c r="F31" s="58" t="n">
        <v>420</v>
      </c>
      <c r="G31" s="58" t="n">
        <v>0</v>
      </c>
      <c r="H31" s="56">
        <f>IF(D31="Ja",MAX(0,F31-G31),0)</f>
        <v/>
      </c>
      <c r="I31" s="24" t="inlineStr">
        <is>
          <t>Einzel</t>
        </is>
      </c>
      <c r="J31" s="35">
        <f>IF($E31="Alle",0,IF($E31="M1",1,0))</f>
        <v/>
      </c>
      <c r="K31" s="35">
        <f>IF($E31="Alle",0,IF($E31="M2",1,0))</f>
        <v/>
      </c>
      <c r="L31" s="35">
        <f>IF($E31="Alle",0,IF($E31="M3",1,0))</f>
        <v/>
      </c>
      <c r="M31" s="35">
        <f>IF($E31="Alle",0,IF($E31="M4",1,0))</f>
        <v/>
      </c>
      <c r="N31" s="56">
        <f>IF('Vertrags-Matrix'!E31="Ja",$H31*J31,0)</f>
        <v/>
      </c>
      <c r="O31" s="56">
        <f>IF('Vertrags-Matrix'!F31="Ja",$H31*K31,0)</f>
        <v/>
      </c>
      <c r="P31" s="56">
        <f>IF('Vertrags-Matrix'!G31="Ja",$H31*L31,0)</f>
        <v/>
      </c>
      <c r="Q31" s="56">
        <f>IF('Vertrags-Matrix'!H31="Ja",$H31*M31,0)</f>
        <v/>
      </c>
      <c r="R31" s="28" t="inlineStr">
        <is>
          <t>Beispiel-Einzelrechnung</t>
        </is>
      </c>
    </row>
    <row r="32">
      <c r="B32" s="13" t="n">
        <v>27</v>
      </c>
      <c r="C32" s="61" t="inlineStr">
        <is>
          <t>Einzelrechnung: (leer – hier eintragen)</t>
        </is>
      </c>
      <c r="D32" s="45" t="inlineStr">
        <is>
          <t>Nein</t>
        </is>
      </c>
      <c r="E32" s="63" t="inlineStr">
        <is>
          <t>M1</t>
        </is>
      </c>
      <c r="F32" s="58" t="n">
        <v>0</v>
      </c>
      <c r="G32" s="58" t="n">
        <v>0</v>
      </c>
      <c r="H32" s="56">
        <f>IF(D32="Ja",MAX(0,F32-G32),0)</f>
        <v/>
      </c>
      <c r="I32" s="24" t="inlineStr">
        <is>
          <t>Einzel</t>
        </is>
      </c>
      <c r="J32" s="35">
        <f>IF($E32="Alle",0,IF($E32="M1",1,0))</f>
        <v/>
      </c>
      <c r="K32" s="35">
        <f>IF($E32="Alle",0,IF($E32="M2",1,0))</f>
        <v/>
      </c>
      <c r="L32" s="35">
        <f>IF($E32="Alle",0,IF($E32="M3",1,0))</f>
        <v/>
      </c>
      <c r="M32" s="35">
        <f>IF($E32="Alle",0,IF($E32="M4",1,0))</f>
        <v/>
      </c>
      <c r="N32" s="56">
        <f>IF('Vertrags-Matrix'!E32="Ja",$H32*J32,0)</f>
        <v/>
      </c>
      <c r="O32" s="56">
        <f>IF('Vertrags-Matrix'!F32="Ja",$H32*K32,0)</f>
        <v/>
      </c>
      <c r="P32" s="56">
        <f>IF('Vertrags-Matrix'!G32="Ja",$H32*L32,0)</f>
        <v/>
      </c>
      <c r="Q32" s="56">
        <f>IF('Vertrags-Matrix'!H32="Ja",$H32*M32,0)</f>
        <v/>
      </c>
      <c r="R32" s="28" t="n"/>
    </row>
    <row r="33">
      <c r="B33" s="13" t="n">
        <v>28</v>
      </c>
      <c r="C33" s="61" t="inlineStr">
        <is>
          <t>Einzelrechnung: (leer – hier eintragen)</t>
        </is>
      </c>
      <c r="D33" s="45" t="inlineStr">
        <is>
          <t>Nein</t>
        </is>
      </c>
      <c r="E33" s="63" t="inlineStr">
        <is>
          <t>M2</t>
        </is>
      </c>
      <c r="F33" s="58" t="n">
        <v>0</v>
      </c>
      <c r="G33" s="58" t="n">
        <v>0</v>
      </c>
      <c r="H33" s="56">
        <f>IF(D33="Ja",MAX(0,F33-G33),0)</f>
        <v/>
      </c>
      <c r="I33" s="24" t="inlineStr">
        <is>
          <t>Einzel</t>
        </is>
      </c>
      <c r="J33" s="35">
        <f>IF($E33="Alle",0,IF($E33="M1",1,0))</f>
        <v/>
      </c>
      <c r="K33" s="35">
        <f>IF($E33="Alle",0,IF($E33="M2",1,0))</f>
        <v/>
      </c>
      <c r="L33" s="35">
        <f>IF($E33="Alle",0,IF($E33="M3",1,0))</f>
        <v/>
      </c>
      <c r="M33" s="35">
        <f>IF($E33="Alle",0,IF($E33="M4",1,0))</f>
        <v/>
      </c>
      <c r="N33" s="56">
        <f>IF('Vertrags-Matrix'!E33="Ja",$H33*J33,0)</f>
        <v/>
      </c>
      <c r="O33" s="56">
        <f>IF('Vertrags-Matrix'!F33="Ja",$H33*K33,0)</f>
        <v/>
      </c>
      <c r="P33" s="56">
        <f>IF('Vertrags-Matrix'!G33="Ja",$H33*L33,0)</f>
        <v/>
      </c>
      <c r="Q33" s="56">
        <f>IF('Vertrags-Matrix'!H33="Ja",$H33*M33,0)</f>
        <v/>
      </c>
      <c r="R33" s="28" t="n"/>
    </row>
    <row r="34">
      <c r="B34" s="13" t="n">
        <v>29</v>
      </c>
      <c r="C34" s="61" t="inlineStr">
        <is>
          <t>Einzelrechnung: (leer – hier eintragen)</t>
        </is>
      </c>
      <c r="D34" s="45" t="inlineStr">
        <is>
          <t>Nein</t>
        </is>
      </c>
      <c r="E34" s="63" t="inlineStr">
        <is>
          <t>M3</t>
        </is>
      </c>
      <c r="F34" s="58" t="n">
        <v>0</v>
      </c>
      <c r="G34" s="58" t="n">
        <v>0</v>
      </c>
      <c r="H34" s="56">
        <f>IF(D34="Ja",MAX(0,F34-G34),0)</f>
        <v/>
      </c>
      <c r="I34" s="24" t="inlineStr">
        <is>
          <t>Einzel</t>
        </is>
      </c>
      <c r="J34" s="35">
        <f>IF($E34="Alle",0,IF($E34="M1",1,0))</f>
        <v/>
      </c>
      <c r="K34" s="35">
        <f>IF($E34="Alle",0,IF($E34="M2",1,0))</f>
        <v/>
      </c>
      <c r="L34" s="35">
        <f>IF($E34="Alle",0,IF($E34="M3",1,0))</f>
        <v/>
      </c>
      <c r="M34" s="35">
        <f>IF($E34="Alle",0,IF($E34="M4",1,0))</f>
        <v/>
      </c>
      <c r="N34" s="56">
        <f>IF('Vertrags-Matrix'!E34="Ja",$H34*J34,0)</f>
        <v/>
      </c>
      <c r="O34" s="56">
        <f>IF('Vertrags-Matrix'!F34="Ja",$H34*K34,0)</f>
        <v/>
      </c>
      <c r="P34" s="56">
        <f>IF('Vertrags-Matrix'!G34="Ja",$H34*L34,0)</f>
        <v/>
      </c>
      <c r="Q34" s="56">
        <f>IF('Vertrags-Matrix'!H34="Ja",$H34*M34,0)</f>
        <v/>
      </c>
      <c r="R34" s="28" t="n"/>
    </row>
    <row r="35">
      <c r="B35" s="13" t="n">
        <v>30</v>
      </c>
      <c r="C35" s="61" t="inlineStr">
        <is>
          <t>Einzelrechnung: (leer – hier eintragen)</t>
        </is>
      </c>
      <c r="D35" s="45" t="inlineStr">
        <is>
          <t>Nein</t>
        </is>
      </c>
      <c r="E35" s="63" t="inlineStr">
        <is>
          <t>M4</t>
        </is>
      </c>
      <c r="F35" s="58" t="n">
        <v>0</v>
      </c>
      <c r="G35" s="58" t="n">
        <v>0</v>
      </c>
      <c r="H35" s="56">
        <f>IF(D35="Ja",MAX(0,F35-G35),0)</f>
        <v/>
      </c>
      <c r="I35" s="24" t="inlineStr">
        <is>
          <t>Einzel</t>
        </is>
      </c>
      <c r="J35" s="35">
        <f>IF($E35="Alle",0,IF($E35="M1",1,0))</f>
        <v/>
      </c>
      <c r="K35" s="35">
        <f>IF($E35="Alle",0,IF($E35="M2",1,0))</f>
        <v/>
      </c>
      <c r="L35" s="35">
        <f>IF($E35="Alle",0,IF($E35="M3",1,0))</f>
        <v/>
      </c>
      <c r="M35" s="35">
        <f>IF($E35="Alle",0,IF($E35="M4",1,0))</f>
        <v/>
      </c>
      <c r="N35" s="56">
        <f>IF('Vertrags-Matrix'!E35="Ja",$H35*J35,0)</f>
        <v/>
      </c>
      <c r="O35" s="56">
        <f>IF('Vertrags-Matrix'!F35="Ja",$H35*K35,0)</f>
        <v/>
      </c>
      <c r="P35" s="56">
        <f>IF('Vertrags-Matrix'!G35="Ja",$H35*L35,0)</f>
        <v/>
      </c>
      <c r="Q35" s="56">
        <f>IF('Vertrags-Matrix'!H35="Ja",$H35*M35,0)</f>
        <v/>
      </c>
      <c r="R35" s="28" t="n"/>
    </row>
    <row r="36">
      <c r="B36" s="13" t="n">
        <v>31</v>
      </c>
      <c r="C36" s="61" t="inlineStr">
        <is>
          <t>Einzelrechnung: (leer – hier eintragen)</t>
        </is>
      </c>
      <c r="D36" s="45" t="inlineStr">
        <is>
          <t>Nein</t>
        </is>
      </c>
      <c r="E36" s="63" t="inlineStr">
        <is>
          <t>Alle</t>
        </is>
      </c>
      <c r="F36" s="58" t="n">
        <v>0</v>
      </c>
      <c r="G36" s="58" t="n">
        <v>0</v>
      </c>
      <c r="H36" s="56">
        <f>IF(D36="Ja",MAX(0,F36-G36),0)</f>
        <v/>
      </c>
      <c r="I36" s="24" t="inlineStr">
        <is>
          <t>Einzel</t>
        </is>
      </c>
      <c r="J36" s="35">
        <f>IF($E36="Alle",0,IF($E36="M1",1,0))</f>
        <v/>
      </c>
      <c r="K36" s="35">
        <f>IF($E36="Alle",0,IF($E36="M2",1,0))</f>
        <v/>
      </c>
      <c r="L36" s="35">
        <f>IF($E36="Alle",0,IF($E36="M3",1,0))</f>
        <v/>
      </c>
      <c r="M36" s="35">
        <f>IF($E36="Alle",0,IF($E36="M4",1,0))</f>
        <v/>
      </c>
      <c r="N36" s="56">
        <f>IF('Vertrags-Matrix'!E36="Ja",$H36*J36,0)</f>
        <v/>
      </c>
      <c r="O36" s="56">
        <f>IF('Vertrags-Matrix'!F36="Ja",$H36*K36,0)</f>
        <v/>
      </c>
      <c r="P36" s="56">
        <f>IF('Vertrags-Matrix'!G36="Ja",$H36*L36,0)</f>
        <v/>
      </c>
      <c r="Q36" s="56">
        <f>IF('Vertrags-Matrix'!H36="Ja",$H36*M36,0)</f>
        <v/>
      </c>
      <c r="R36" s="28" t="n"/>
    </row>
    <row r="37">
      <c r="C37" s="21" t="inlineStr">
        <is>
          <t>SUMME</t>
        </is>
      </c>
      <c r="F37" s="57">
        <f>SUM(F6:F36)</f>
        <v/>
      </c>
      <c r="G37" s="57">
        <f>SUM(G6:G36)</f>
        <v/>
      </c>
      <c r="H37" s="57">
        <f>SUM(H6:H36)</f>
        <v/>
      </c>
      <c r="N37" s="57">
        <f>SUM(N6:N36)</f>
        <v/>
      </c>
      <c r="O37" s="57">
        <f>SUM(O6:O36)</f>
        <v/>
      </c>
      <c r="P37" s="57">
        <f>SUM(P6:P36)</f>
        <v/>
      </c>
      <c r="Q37" s="57">
        <f>SUM(Q6:Q36)</f>
        <v/>
      </c>
    </row>
    <row r="39">
      <c r="B39" s="2" t="inlineStr">
        <is>
          <t>Neue Einzelrechnung: leere lilafarbene Zeile nutzen → Umlagefähig=Ja → Zuordnung M1/M2/M3/M4 → Betrag netto → Belegnr. Fertig.</t>
        </is>
      </c>
    </row>
  </sheetData>
  <autoFilter ref="B5:R36"/>
  <mergeCells count="1">
    <mergeCell ref="B39:R39"/>
  </mergeCells>
  <conditionalFormatting sqref="D6:D36">
    <cfRule type="expression" priority="1" dxfId="0">
      <formula>D6="Ja"</formula>
    </cfRule>
    <cfRule type="expression" priority="2" dxfId="1">
      <formula>D6="Nein"</formula>
    </cfRule>
  </conditionalFormatting>
  <conditionalFormatting sqref="E6:E36">
    <cfRule type="expression" priority="3" dxfId="2">
      <formula>E6&lt;&gt;"Alle"</formula>
    </cfRule>
  </conditionalFormatting>
  <dataValidations count="3">
    <dataValidation sqref="D6:D80" showDropDown="0" showInputMessage="0" showErrorMessage="0" allowBlank="1" type="list">
      <formula1>"Ja,Nein"</formula1>
    </dataValidation>
    <dataValidation sqref="E6:E80" showDropDown="0" showInputMessage="0" showErrorMessage="0" allowBlank="0" type="list">
      <formula1>"Alle,M1,M2,M3,M4"</formula1>
    </dataValidation>
    <dataValidation sqref="I6:I80" showDropDown="0" showInputMessage="0" showErrorMessage="0" allowBlank="1" type="list">
      <formula1>"Fläche,Verbrauch,Nutzerzahl,Mischschlüssel,Einzel"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B2:I89"/>
  <sheetViews>
    <sheetView showGridLines="0" workbookViewId="0">
      <pane xSplit="1" ySplit="14" topLeftCell="B1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" customWidth="1" min="1" max="1"/>
    <col width="6" customWidth="1" min="2" max="2"/>
    <col width="34" customWidth="1" min="3" max="3"/>
    <col width="16" customWidth="1" min="4" max="4"/>
    <col width="12" customWidth="1" min="5" max="5"/>
    <col width="12" customWidth="1" min="6" max="6"/>
    <col width="16" customWidth="1" min="7" max="7"/>
    <col width="12" customWidth="1" min="8" max="8"/>
    <col width="14" customWidth="1" min="9" max="9"/>
  </cols>
  <sheetData>
    <row r="2">
      <c r="B2" s="46" t="inlineStr">
        <is>
          <t>Nebenkostenabrechnung Gewerbe – Mieter 1</t>
        </is>
      </c>
    </row>
    <row r="3">
      <c r="B3" s="2" t="inlineStr">
        <is>
          <t>Automatisch aus Objekt + Mieter + Kostenarten. Vor Versand prüfen.</t>
        </is>
      </c>
    </row>
    <row r="5">
      <c r="B5" s="27" t="inlineStr">
        <is>
          <t>Objekt</t>
        </is>
      </c>
      <c r="C5" s="31">
        <f>Objekt!C5</f>
        <v/>
      </c>
      <c r="D5" s="25" t="n"/>
      <c r="E5" s="26" t="n"/>
    </row>
    <row r="6">
      <c r="B6" s="27" t="inlineStr">
        <is>
          <t>Mieter</t>
        </is>
      </c>
      <c r="C6" s="31">
        <f>Mieter!C6</f>
        <v/>
      </c>
      <c r="D6" s="25" t="n"/>
      <c r="E6" s="26" t="n"/>
    </row>
    <row r="7">
      <c r="B7" s="27" t="inlineStr">
        <is>
          <t>Einheit</t>
        </is>
      </c>
      <c r="C7" s="31">
        <f>Mieter!D6</f>
        <v/>
      </c>
      <c r="D7" s="25" t="n"/>
      <c r="E7" s="26" t="n"/>
    </row>
    <row r="8">
      <c r="B8" s="27" t="inlineStr">
        <is>
          <t>Zeitraum von</t>
        </is>
      </c>
      <c r="C8" s="47">
        <f>Objekt!C7</f>
        <v/>
      </c>
    </row>
    <row r="9">
      <c r="B9" s="27" t="inlineStr">
        <is>
          <t>Zeitraum bis</t>
        </is>
      </c>
      <c r="C9" s="47">
        <f>Objekt!C8</f>
        <v/>
      </c>
    </row>
    <row r="10">
      <c r="B10" s="27" t="inlineStr">
        <is>
          <t>Fläche m²</t>
        </is>
      </c>
      <c r="C10" s="32">
        <f>Mieter!E6</f>
        <v/>
      </c>
    </row>
    <row r="11">
      <c r="B11" s="27" t="inlineStr">
        <is>
          <t>Flächenanteil</t>
        </is>
      </c>
      <c r="C11" s="35">
        <f>Mieter!F6</f>
        <v/>
      </c>
    </row>
    <row r="12">
      <c r="B12" s="27" t="inlineStr">
        <is>
          <t>USt-Option</t>
        </is>
      </c>
      <c r="C12" s="31">
        <f>Objekt!C9</f>
        <v/>
      </c>
    </row>
    <row r="14">
      <c r="B14" s="11" t="inlineStr">
        <is>
          <t>Nr</t>
        </is>
      </c>
      <c r="C14" s="11" t="inlineStr">
        <is>
          <t>Kostenart</t>
        </is>
      </c>
      <c r="D14" s="11" t="inlineStr">
        <is>
          <t>Anteil Mieter netto €</t>
        </is>
      </c>
      <c r="E14" s="11" t="inlineStr">
        <is>
          <t>Schlüssel</t>
        </is>
      </c>
      <c r="F14" s="11" t="inlineStr">
        <is>
          <t>Anteil %</t>
        </is>
      </c>
      <c r="G14" s="11" t="inlineStr">
        <is>
          <t>USt €</t>
        </is>
      </c>
      <c r="H14" s="11" t="inlineStr">
        <is>
          <t>Brutto €</t>
        </is>
      </c>
      <c r="I14" s="64" t="n"/>
    </row>
    <row r="15">
      <c r="B15" s="65" t="n">
        <v>1</v>
      </c>
      <c r="C15" s="65">
        <f>Kostenarten!C6</f>
        <v/>
      </c>
      <c r="D15" s="66">
        <f>Kostenarten!N6</f>
        <v/>
      </c>
      <c r="E15" s="67">
        <f>Kostenarten!I6</f>
        <v/>
      </c>
      <c r="F15" s="68">
        <f>Kostenarten!J6</f>
        <v/>
      </c>
      <c r="G15" s="66">
        <f>IF(Objekt!$C$9="Ja",D15*Objekt!$C$10,0)</f>
        <v/>
      </c>
      <c r="H15" s="66">
        <f>D15+G15</f>
        <v/>
      </c>
      <c r="I15" s="64" t="n"/>
    </row>
    <row r="16">
      <c r="B16" s="65" t="n">
        <v>2</v>
      </c>
      <c r="C16" s="65">
        <f>Kostenarten!C7</f>
        <v/>
      </c>
      <c r="D16" s="66">
        <f>Kostenarten!N7</f>
        <v/>
      </c>
      <c r="E16" s="67">
        <f>Kostenarten!I7</f>
        <v/>
      </c>
      <c r="F16" s="68">
        <f>Kostenarten!J7</f>
        <v/>
      </c>
      <c r="G16" s="66">
        <f>IF(Objekt!$C$9="Ja",D16*Objekt!$C$10,0)</f>
        <v/>
      </c>
      <c r="H16" s="66">
        <f>D16+G16</f>
        <v/>
      </c>
      <c r="I16" s="64" t="n"/>
    </row>
    <row r="17">
      <c r="B17" s="65" t="n">
        <v>3</v>
      </c>
      <c r="C17" s="65">
        <f>Kostenarten!C8</f>
        <v/>
      </c>
      <c r="D17" s="66">
        <f>Kostenarten!N8</f>
        <v/>
      </c>
      <c r="E17" s="67">
        <f>Kostenarten!I8</f>
        <v/>
      </c>
      <c r="F17" s="68">
        <f>Kostenarten!J8</f>
        <v/>
      </c>
      <c r="G17" s="66">
        <f>IF(Objekt!$C$9="Ja",D17*Objekt!$C$10,0)</f>
        <v/>
      </c>
      <c r="H17" s="66">
        <f>D17+G17</f>
        <v/>
      </c>
      <c r="I17" s="64" t="n"/>
    </row>
    <row r="18">
      <c r="B18" s="65" t="n">
        <v>4</v>
      </c>
      <c r="C18" s="65">
        <f>Kostenarten!C9</f>
        <v/>
      </c>
      <c r="D18" s="66">
        <f>Kostenarten!N9</f>
        <v/>
      </c>
      <c r="E18" s="67">
        <f>Kostenarten!I9</f>
        <v/>
      </c>
      <c r="F18" s="68">
        <f>Kostenarten!J9</f>
        <v/>
      </c>
      <c r="G18" s="66">
        <f>IF(Objekt!$C$9="Ja",D18*Objekt!$C$10,0)</f>
        <v/>
      </c>
      <c r="H18" s="66">
        <f>D18+G18</f>
        <v/>
      </c>
      <c r="I18" s="64" t="n"/>
    </row>
    <row r="19">
      <c r="B19" s="65" t="n">
        <v>5</v>
      </c>
      <c r="C19" s="65">
        <f>Kostenarten!C10</f>
        <v/>
      </c>
      <c r="D19" s="66">
        <f>Kostenarten!N10</f>
        <v/>
      </c>
      <c r="E19" s="67">
        <f>Kostenarten!I10</f>
        <v/>
      </c>
      <c r="F19" s="68">
        <f>Kostenarten!J10</f>
        <v/>
      </c>
      <c r="G19" s="66">
        <f>IF(Objekt!$C$9="Ja",D19*Objekt!$C$10,0)</f>
        <v/>
      </c>
      <c r="H19" s="66">
        <f>D19+G19</f>
        <v/>
      </c>
      <c r="I19" s="64" t="n"/>
    </row>
    <row r="20">
      <c r="B20" s="65" t="n">
        <v>6</v>
      </c>
      <c r="C20" s="65">
        <f>Kostenarten!C11</f>
        <v/>
      </c>
      <c r="D20" s="66">
        <f>Kostenarten!N11</f>
        <v/>
      </c>
      <c r="E20" s="67">
        <f>Kostenarten!I11</f>
        <v/>
      </c>
      <c r="F20" s="68">
        <f>Kostenarten!J11</f>
        <v/>
      </c>
      <c r="G20" s="66">
        <f>IF(Objekt!$C$9="Ja",D20*Objekt!$C$10,0)</f>
        <v/>
      </c>
      <c r="H20" s="66">
        <f>D20+G20</f>
        <v/>
      </c>
      <c r="I20" s="64" t="n"/>
    </row>
    <row r="21">
      <c r="B21" s="65" t="n">
        <v>7</v>
      </c>
      <c r="C21" s="65">
        <f>Kostenarten!C12</f>
        <v/>
      </c>
      <c r="D21" s="66">
        <f>Kostenarten!N12</f>
        <v/>
      </c>
      <c r="E21" s="67">
        <f>Kostenarten!I12</f>
        <v/>
      </c>
      <c r="F21" s="68">
        <f>Kostenarten!J12</f>
        <v/>
      </c>
      <c r="G21" s="66">
        <f>IF(Objekt!$C$9="Ja",D21*Objekt!$C$10,0)</f>
        <v/>
      </c>
      <c r="H21" s="66">
        <f>D21+G21</f>
        <v/>
      </c>
      <c r="I21" s="64" t="n"/>
    </row>
    <row r="22">
      <c r="B22" s="65" t="n">
        <v>8</v>
      </c>
      <c r="C22" s="65">
        <f>Kostenarten!C13</f>
        <v/>
      </c>
      <c r="D22" s="66">
        <f>Kostenarten!N13</f>
        <v/>
      </c>
      <c r="E22" s="67">
        <f>Kostenarten!I13</f>
        <v/>
      </c>
      <c r="F22" s="68">
        <f>Kostenarten!J13</f>
        <v/>
      </c>
      <c r="G22" s="66">
        <f>IF(Objekt!$C$9="Ja",D22*Objekt!$C$10,0)</f>
        <v/>
      </c>
      <c r="H22" s="66">
        <f>D22+G22</f>
        <v/>
      </c>
      <c r="I22" s="64" t="n"/>
    </row>
    <row r="23">
      <c r="B23" s="65" t="n">
        <v>9</v>
      </c>
      <c r="C23" s="65">
        <f>Kostenarten!C14</f>
        <v/>
      </c>
      <c r="D23" s="66">
        <f>Kostenarten!N14</f>
        <v/>
      </c>
      <c r="E23" s="67">
        <f>Kostenarten!I14</f>
        <v/>
      </c>
      <c r="F23" s="68">
        <f>Kostenarten!J14</f>
        <v/>
      </c>
      <c r="G23" s="66">
        <f>IF(Objekt!$C$9="Ja",D23*Objekt!$C$10,0)</f>
        <v/>
      </c>
      <c r="H23" s="66">
        <f>D23+G23</f>
        <v/>
      </c>
      <c r="I23" s="64" t="n"/>
    </row>
    <row r="24">
      <c r="B24" s="65" t="n">
        <v>10</v>
      </c>
      <c r="C24" s="65">
        <f>Kostenarten!C15</f>
        <v/>
      </c>
      <c r="D24" s="66">
        <f>Kostenarten!N15</f>
        <v/>
      </c>
      <c r="E24" s="67">
        <f>Kostenarten!I15</f>
        <v/>
      </c>
      <c r="F24" s="68">
        <f>Kostenarten!J15</f>
        <v/>
      </c>
      <c r="G24" s="66">
        <f>IF(Objekt!$C$9="Ja",D24*Objekt!$C$10,0)</f>
        <v/>
      </c>
      <c r="H24" s="66">
        <f>D24+G24</f>
        <v/>
      </c>
      <c r="I24" s="64" t="n"/>
    </row>
    <row r="25">
      <c r="B25" s="65" t="n">
        <v>11</v>
      </c>
      <c r="C25" s="65">
        <f>Kostenarten!C16</f>
        <v/>
      </c>
      <c r="D25" s="66">
        <f>Kostenarten!N16</f>
        <v/>
      </c>
      <c r="E25" s="67">
        <f>Kostenarten!I16</f>
        <v/>
      </c>
      <c r="F25" s="68">
        <f>Kostenarten!J16</f>
        <v/>
      </c>
      <c r="G25" s="66">
        <f>IF(Objekt!$C$9="Ja",D25*Objekt!$C$10,0)</f>
        <v/>
      </c>
      <c r="H25" s="66">
        <f>D25+G25</f>
        <v/>
      </c>
      <c r="I25" s="64" t="n"/>
    </row>
    <row r="26">
      <c r="B26" s="65" t="n">
        <v>12</v>
      </c>
      <c r="C26" s="65">
        <f>Kostenarten!C17</f>
        <v/>
      </c>
      <c r="D26" s="66">
        <f>Kostenarten!N17</f>
        <v/>
      </c>
      <c r="E26" s="67">
        <f>Kostenarten!I17</f>
        <v/>
      </c>
      <c r="F26" s="68">
        <f>Kostenarten!J17</f>
        <v/>
      </c>
      <c r="G26" s="66">
        <f>IF(Objekt!$C$9="Ja",D26*Objekt!$C$10,0)</f>
        <v/>
      </c>
      <c r="H26" s="66">
        <f>D26+G26</f>
        <v/>
      </c>
      <c r="I26" s="64" t="n"/>
    </row>
    <row r="27">
      <c r="B27" s="65" t="n">
        <v>13</v>
      </c>
      <c r="C27" s="65">
        <f>Kostenarten!C18</f>
        <v/>
      </c>
      <c r="D27" s="66">
        <f>Kostenarten!N18</f>
        <v/>
      </c>
      <c r="E27" s="67">
        <f>Kostenarten!I18</f>
        <v/>
      </c>
      <c r="F27" s="68">
        <f>Kostenarten!J18</f>
        <v/>
      </c>
      <c r="G27" s="66">
        <f>IF(Objekt!$C$9="Ja",D27*Objekt!$C$10,0)</f>
        <v/>
      </c>
      <c r="H27" s="66">
        <f>D27+G27</f>
        <v/>
      </c>
      <c r="I27" s="64" t="n"/>
    </row>
    <row r="28">
      <c r="B28" s="65" t="n">
        <v>14</v>
      </c>
      <c r="C28" s="65">
        <f>Kostenarten!C19</f>
        <v/>
      </c>
      <c r="D28" s="66">
        <f>Kostenarten!N19</f>
        <v/>
      </c>
      <c r="E28" s="67">
        <f>Kostenarten!I19</f>
        <v/>
      </c>
      <c r="F28" s="68">
        <f>Kostenarten!J19</f>
        <v/>
      </c>
      <c r="G28" s="66">
        <f>IF(Objekt!$C$9="Ja",D28*Objekt!$C$10,0)</f>
        <v/>
      </c>
      <c r="H28" s="66">
        <f>D28+G28</f>
        <v/>
      </c>
      <c r="I28" s="64" t="n"/>
    </row>
    <row r="29">
      <c r="B29" s="65" t="n">
        <v>15</v>
      </c>
      <c r="C29" s="65">
        <f>Kostenarten!C20</f>
        <v/>
      </c>
      <c r="D29" s="66">
        <f>Kostenarten!N20</f>
        <v/>
      </c>
      <c r="E29" s="67">
        <f>Kostenarten!I20</f>
        <v/>
      </c>
      <c r="F29" s="68">
        <f>Kostenarten!J20</f>
        <v/>
      </c>
      <c r="G29" s="66">
        <f>IF(Objekt!$C$9="Ja",D29*Objekt!$C$10,0)</f>
        <v/>
      </c>
      <c r="H29" s="66">
        <f>D29+G29</f>
        <v/>
      </c>
      <c r="I29" s="64" t="n"/>
    </row>
    <row r="30">
      <c r="B30" s="65" t="n">
        <v>16</v>
      </c>
      <c r="C30" s="65">
        <f>Kostenarten!C21</f>
        <v/>
      </c>
      <c r="D30" s="66">
        <f>Kostenarten!N21</f>
        <v/>
      </c>
      <c r="E30" s="67">
        <f>Kostenarten!I21</f>
        <v/>
      </c>
      <c r="F30" s="68">
        <f>Kostenarten!J21</f>
        <v/>
      </c>
      <c r="G30" s="66">
        <f>IF(Objekt!$C$9="Ja",D30*Objekt!$C$10,0)</f>
        <v/>
      </c>
      <c r="H30" s="66">
        <f>D30+G30</f>
        <v/>
      </c>
      <c r="I30" s="64" t="n"/>
    </row>
    <row r="31">
      <c r="B31" s="65" t="n">
        <v>17</v>
      </c>
      <c r="C31" s="65">
        <f>Kostenarten!C22</f>
        <v/>
      </c>
      <c r="D31" s="66">
        <f>Kostenarten!N22</f>
        <v/>
      </c>
      <c r="E31" s="67">
        <f>Kostenarten!I22</f>
        <v/>
      </c>
      <c r="F31" s="68">
        <f>Kostenarten!J22</f>
        <v/>
      </c>
      <c r="G31" s="66">
        <f>IF(Objekt!$C$9="Ja",D31*Objekt!$C$10,0)</f>
        <v/>
      </c>
      <c r="H31" s="66">
        <f>D31+G31</f>
        <v/>
      </c>
      <c r="I31" s="64" t="n"/>
    </row>
    <row r="32">
      <c r="B32" s="65" t="n">
        <v>18</v>
      </c>
      <c r="C32" s="65">
        <f>Kostenarten!C23</f>
        <v/>
      </c>
      <c r="D32" s="66">
        <f>Kostenarten!N23</f>
        <v/>
      </c>
      <c r="E32" s="67">
        <f>Kostenarten!I23</f>
        <v/>
      </c>
      <c r="F32" s="68">
        <f>Kostenarten!J23</f>
        <v/>
      </c>
      <c r="G32" s="66">
        <f>IF(Objekt!$C$9="Ja",D32*Objekt!$C$10,0)</f>
        <v/>
      </c>
      <c r="H32" s="66">
        <f>D32+G32</f>
        <v/>
      </c>
      <c r="I32" s="64" t="n"/>
    </row>
    <row r="33">
      <c r="B33" s="65" t="n">
        <v>19</v>
      </c>
      <c r="C33" s="65">
        <f>Kostenarten!C24</f>
        <v/>
      </c>
      <c r="D33" s="66">
        <f>Kostenarten!N24</f>
        <v/>
      </c>
      <c r="E33" s="67">
        <f>Kostenarten!I24</f>
        <v/>
      </c>
      <c r="F33" s="68">
        <f>Kostenarten!J24</f>
        <v/>
      </c>
      <c r="G33" s="66">
        <f>IF(Objekt!$C$9="Ja",D33*Objekt!$C$10,0)</f>
        <v/>
      </c>
      <c r="H33" s="66">
        <f>D33+G33</f>
        <v/>
      </c>
      <c r="I33" s="64" t="n"/>
    </row>
    <row r="34">
      <c r="B34" s="65" t="n">
        <v>20</v>
      </c>
      <c r="C34" s="65">
        <f>Kostenarten!C25</f>
        <v/>
      </c>
      <c r="D34" s="66">
        <f>Kostenarten!N25</f>
        <v/>
      </c>
      <c r="E34" s="67">
        <f>Kostenarten!I25</f>
        <v/>
      </c>
      <c r="F34" s="68">
        <f>Kostenarten!J25</f>
        <v/>
      </c>
      <c r="G34" s="66">
        <f>IF(Objekt!$C$9="Ja",D34*Objekt!$C$10,0)</f>
        <v/>
      </c>
      <c r="H34" s="66">
        <f>D34+G34</f>
        <v/>
      </c>
      <c r="I34" s="64" t="n"/>
    </row>
    <row r="35">
      <c r="B35" s="65" t="n">
        <v>21</v>
      </c>
      <c r="C35" s="65">
        <f>Kostenarten!C26</f>
        <v/>
      </c>
      <c r="D35" s="66">
        <f>Kostenarten!N26</f>
        <v/>
      </c>
      <c r="E35" s="67">
        <f>Kostenarten!I26</f>
        <v/>
      </c>
      <c r="F35" s="68">
        <f>Kostenarten!J26</f>
        <v/>
      </c>
      <c r="G35" s="66">
        <f>IF(Objekt!$C$9="Ja",D35*Objekt!$C$10,0)</f>
        <v/>
      </c>
      <c r="H35" s="66">
        <f>D35+G35</f>
        <v/>
      </c>
      <c r="I35" s="64" t="n"/>
    </row>
    <row r="36">
      <c r="B36" s="65" t="n">
        <v>22</v>
      </c>
      <c r="C36" s="65">
        <f>Kostenarten!C27</f>
        <v/>
      </c>
      <c r="D36" s="66">
        <f>Kostenarten!N27</f>
        <v/>
      </c>
      <c r="E36" s="67">
        <f>Kostenarten!I27</f>
        <v/>
      </c>
      <c r="F36" s="68">
        <f>Kostenarten!J27</f>
        <v/>
      </c>
      <c r="G36" s="66">
        <f>IF(Objekt!$C$9="Ja",D36*Objekt!$C$10,0)</f>
        <v/>
      </c>
      <c r="H36" s="66">
        <f>D36+G36</f>
        <v/>
      </c>
      <c r="I36" s="64" t="n"/>
    </row>
    <row r="37">
      <c r="B37" s="65" t="n">
        <v>23</v>
      </c>
      <c r="C37" s="65">
        <f>Kostenarten!C28</f>
        <v/>
      </c>
      <c r="D37" s="66">
        <f>Kostenarten!N28</f>
        <v/>
      </c>
      <c r="E37" s="67">
        <f>Kostenarten!I28</f>
        <v/>
      </c>
      <c r="F37" s="68">
        <f>Kostenarten!J28</f>
        <v/>
      </c>
      <c r="G37" s="66">
        <f>IF(Objekt!$C$9="Ja",D37*Objekt!$C$10,0)</f>
        <v/>
      </c>
      <c r="H37" s="66">
        <f>D37+G37</f>
        <v/>
      </c>
      <c r="I37" s="64" t="n"/>
    </row>
    <row r="38">
      <c r="B38" s="65" t="n">
        <v>24</v>
      </c>
      <c r="C38" s="65">
        <f>Kostenarten!C29</f>
        <v/>
      </c>
      <c r="D38" s="66">
        <f>Kostenarten!N29</f>
        <v/>
      </c>
      <c r="E38" s="67">
        <f>Kostenarten!I29</f>
        <v/>
      </c>
      <c r="F38" s="68">
        <f>Kostenarten!J29</f>
        <v/>
      </c>
      <c r="G38" s="66">
        <f>IF(Objekt!$C$9="Ja",D38*Objekt!$C$10,0)</f>
        <v/>
      </c>
      <c r="H38" s="66">
        <f>D38+G38</f>
        <v/>
      </c>
      <c r="I38" s="64" t="n"/>
    </row>
    <row r="39">
      <c r="B39" s="65" t="n">
        <v>25</v>
      </c>
      <c r="C39" s="65">
        <f>Kostenarten!C30</f>
        <v/>
      </c>
      <c r="D39" s="66">
        <f>Kostenarten!N30</f>
        <v/>
      </c>
      <c r="E39" s="67">
        <f>Kostenarten!I30</f>
        <v/>
      </c>
      <c r="F39" s="68">
        <f>Kostenarten!J30</f>
        <v/>
      </c>
      <c r="G39" s="66">
        <f>IF(Objekt!$C$9="Ja",D39*Objekt!$C$10,0)</f>
        <v/>
      </c>
      <c r="H39" s="66">
        <f>D39+G39</f>
        <v/>
      </c>
      <c r="I39" s="64" t="n"/>
    </row>
    <row r="40">
      <c r="B40" s="65" t="n">
        <v>26</v>
      </c>
      <c r="C40" s="65">
        <f>Kostenarten!C31</f>
        <v/>
      </c>
      <c r="D40" s="66">
        <f>Kostenarten!N31</f>
        <v/>
      </c>
      <c r="E40" s="67">
        <f>Kostenarten!I31</f>
        <v/>
      </c>
      <c r="F40" s="68">
        <f>Kostenarten!J31</f>
        <v/>
      </c>
      <c r="G40" s="66">
        <f>IF(Objekt!$C$9="Ja",D40*Objekt!$C$10,0)</f>
        <v/>
      </c>
      <c r="H40" s="66">
        <f>D40+G40</f>
        <v/>
      </c>
      <c r="I40" s="64" t="n"/>
    </row>
    <row r="41">
      <c r="B41" s="65" t="n">
        <v>27</v>
      </c>
      <c r="C41" s="69">
        <f>Kostenarten!C32</f>
        <v/>
      </c>
      <c r="D41" s="66">
        <f>Kostenarten!N32</f>
        <v/>
      </c>
      <c r="E41" s="67">
        <f>Kostenarten!I32</f>
        <v/>
      </c>
      <c r="F41" s="68">
        <f>Kostenarten!J32</f>
        <v/>
      </c>
      <c r="G41" s="66">
        <f>IF(Objekt!$C$9="Ja",D41*Objekt!$C$10,0)</f>
        <v/>
      </c>
      <c r="H41" s="66">
        <f>D41+G41</f>
        <v/>
      </c>
      <c r="I41" s="64" t="n"/>
    </row>
    <row r="42">
      <c r="B42" s="65" t="n">
        <v>28</v>
      </c>
      <c r="C42" s="69">
        <f>Kostenarten!C33</f>
        <v/>
      </c>
      <c r="D42" s="66">
        <f>Kostenarten!N33</f>
        <v/>
      </c>
      <c r="E42" s="67">
        <f>Kostenarten!I33</f>
        <v/>
      </c>
      <c r="F42" s="68">
        <f>Kostenarten!J33</f>
        <v/>
      </c>
      <c r="G42" s="66">
        <f>IF(Objekt!$C$9="Ja",D42*Objekt!$C$10,0)</f>
        <v/>
      </c>
      <c r="H42" s="66">
        <f>D42+G42</f>
        <v/>
      </c>
      <c r="I42" s="64" t="n"/>
    </row>
    <row r="43">
      <c r="B43" s="65" t="n">
        <v>29</v>
      </c>
      <c r="C43" s="69">
        <f>Kostenarten!C34</f>
        <v/>
      </c>
      <c r="D43" s="66">
        <f>Kostenarten!N34</f>
        <v/>
      </c>
      <c r="E43" s="67">
        <f>Kostenarten!I34</f>
        <v/>
      </c>
      <c r="F43" s="68">
        <f>Kostenarten!J34</f>
        <v/>
      </c>
      <c r="G43" s="66">
        <f>IF(Objekt!$C$9="Ja",D43*Objekt!$C$10,0)</f>
        <v/>
      </c>
      <c r="H43" s="66">
        <f>D43+G43</f>
        <v/>
      </c>
      <c r="I43" s="64" t="n"/>
    </row>
    <row r="44">
      <c r="B44" s="65" t="n">
        <v>30</v>
      </c>
      <c r="C44" s="69">
        <f>Kostenarten!C35</f>
        <v/>
      </c>
      <c r="D44" s="66">
        <f>Kostenarten!N35</f>
        <v/>
      </c>
      <c r="E44" s="67">
        <f>Kostenarten!I35</f>
        <v/>
      </c>
      <c r="F44" s="68">
        <f>Kostenarten!J35</f>
        <v/>
      </c>
      <c r="G44" s="66">
        <f>IF(Objekt!$C$9="Ja",D44*Objekt!$C$10,0)</f>
        <v/>
      </c>
      <c r="H44" s="66">
        <f>D44+G44</f>
        <v/>
      </c>
      <c r="I44" s="64" t="n"/>
    </row>
    <row r="45">
      <c r="B45" s="65" t="n">
        <v>31</v>
      </c>
      <c r="C45" s="69">
        <f>Kostenarten!C36</f>
        <v/>
      </c>
      <c r="D45" s="66">
        <f>Kostenarten!N36</f>
        <v/>
      </c>
      <c r="E45" s="67">
        <f>Kostenarten!I36</f>
        <v/>
      </c>
      <c r="F45" s="68">
        <f>Kostenarten!J36</f>
        <v/>
      </c>
      <c r="G45" s="66">
        <f>IF(Objekt!$C$9="Ja",D45*Objekt!$C$10,0)</f>
        <v/>
      </c>
      <c r="H45" s="66">
        <f>D45+G45</f>
        <v/>
      </c>
      <c r="I45" s="64" t="n"/>
    </row>
    <row r="46">
      <c r="B46" s="64" t="n"/>
      <c r="C46" s="83" t="inlineStr">
        <is>
          <t>Zwischensumme</t>
        </is>
      </c>
      <c r="D46" s="57">
        <f>SUM(D15:D45)</f>
        <v/>
      </c>
      <c r="E46" s="64" t="n"/>
      <c r="F46" s="84" t="n"/>
      <c r="G46" s="57">
        <f>SUM(G15:G45)</f>
        <v/>
      </c>
      <c r="H46" s="57">
        <f>SUM(H15:H45)</f>
        <v/>
      </c>
      <c r="I46" s="64" t="n"/>
    </row>
    <row r="47">
      <c r="B47" s="64" t="n"/>
      <c r="C47" s="64" t="n"/>
      <c r="D47" s="85" t="n"/>
      <c r="E47" s="64" t="n"/>
      <c r="F47" s="84" t="n"/>
      <c r="G47" s="85" t="n"/>
      <c r="H47" s="85" t="n"/>
      <c r="I47" s="64" t="n"/>
    </row>
    <row r="48">
      <c r="B48" s="71" t="inlineStr">
        <is>
          <t>Ergebnis</t>
        </is>
      </c>
      <c r="C48" s="64" t="n"/>
      <c r="D48" s="85" t="n"/>
      <c r="E48" s="64" t="n"/>
      <c r="F48" s="84" t="n"/>
      <c r="G48" s="85" t="n"/>
      <c r="H48" s="85" t="n"/>
      <c r="I48" s="64" t="n"/>
    </row>
    <row r="49">
      <c r="B49" s="72" t="inlineStr">
        <is>
          <t>Summe Anteil netto</t>
        </is>
      </c>
      <c r="C49" s="66">
        <f>D46</f>
        <v/>
      </c>
      <c r="D49" s="85" t="n"/>
      <c r="E49" s="64" t="n"/>
      <c r="F49" s="64" t="n"/>
      <c r="G49" s="85" t="n"/>
      <c r="H49" s="85" t="n"/>
      <c r="I49" s="64" t="n"/>
    </row>
    <row r="50">
      <c r="B50" s="72" t="inlineStr">
        <is>
          <t>zzgl. Umsatzsteuer</t>
        </is>
      </c>
      <c r="C50" s="66">
        <f>G46</f>
        <v/>
      </c>
      <c r="D50" s="64" t="n"/>
      <c r="E50" s="64" t="n"/>
      <c r="F50" s="64" t="n"/>
      <c r="G50" s="64" t="n"/>
      <c r="H50" s="64" t="n"/>
      <c r="I50" s="64" t="n"/>
    </row>
    <row r="51">
      <c r="B51" s="72" t="inlineStr">
        <is>
          <t>Summe brutto</t>
        </is>
      </c>
      <c r="C51" s="66">
        <f>H46</f>
        <v/>
      </c>
      <c r="D51" s="64" t="n"/>
      <c r="E51" s="64" t="n"/>
      <c r="F51" s="64" t="n"/>
      <c r="G51" s="64" t="n"/>
      <c r="H51" s="64" t="n"/>
      <c r="I51" s="64" t="n"/>
    </row>
    <row r="52">
      <c r="B52" s="72" t="inlineStr">
        <is>
          <t>abzgl. Vorauszahlungen brutto</t>
        </is>
      </c>
      <c r="C52" s="66">
        <f>Mieter!J6</f>
        <v/>
      </c>
      <c r="D52" s="64" t="n"/>
      <c r="E52" s="64" t="n"/>
      <c r="F52" s="64" t="n"/>
      <c r="G52" s="64" t="n"/>
      <c r="H52" s="64" t="n"/>
      <c r="I52" s="64" t="n"/>
    </row>
    <row r="53">
      <c r="B53" s="73" t="inlineStr">
        <is>
          <t>Nachzahlung / Guthaben (−)</t>
        </is>
      </c>
      <c r="C53" s="57">
        <f>C51-C52</f>
        <v/>
      </c>
      <c r="D53" s="64" t="n"/>
      <c r="E53" s="64" t="n"/>
      <c r="F53" s="64" t="n"/>
      <c r="G53" s="64" t="n"/>
      <c r="H53" s="64" t="n"/>
      <c r="I53" s="64" t="n"/>
    </row>
    <row r="54">
      <c r="B54" s="64" t="n"/>
      <c r="C54" s="85" t="n"/>
      <c r="D54" s="64" t="n"/>
      <c r="E54" s="64" t="n"/>
      <c r="F54" s="64" t="n"/>
      <c r="G54" s="64" t="n"/>
      <c r="H54" s="64" t="n"/>
      <c r="I54" s="64" t="n"/>
    </row>
    <row r="55">
      <c r="B55" s="74" t="inlineStr">
        <is>
          <t>Einzelumlagen mit Zuordnung M1–M4 sind in der Summe enthalten.</t>
        </is>
      </c>
      <c r="C55" s="85" t="n"/>
      <c r="D55" s="64" t="n"/>
      <c r="E55" s="64" t="n"/>
      <c r="F55" s="64" t="n"/>
      <c r="G55" s="64" t="n"/>
      <c r="H55" s="64" t="n"/>
      <c r="I55" s="64" t="n"/>
    </row>
    <row r="56">
      <c r="B56" s="64" t="n"/>
      <c r="C56" s="85" t="n"/>
      <c r="D56" s="64" t="n"/>
      <c r="E56" s="64" t="n"/>
      <c r="F56" s="64" t="n"/>
      <c r="G56" s="64" t="n"/>
      <c r="H56" s="64" t="n"/>
      <c r="I56" s="64" t="n"/>
    </row>
    <row r="57">
      <c r="B57" s="72" t="inlineStr">
        <is>
          <t>Erstellt am</t>
        </is>
      </c>
      <c r="C57" s="75" t="n">
        <v>46241</v>
      </c>
      <c r="D57" s="64" t="n"/>
      <c r="E57" s="64" t="n"/>
      <c r="F57" s="64" t="n"/>
      <c r="G57" s="64" t="n"/>
      <c r="H57" s="64" t="n"/>
      <c r="I57" s="64" t="n"/>
    </row>
    <row r="58">
      <c r="B58" s="72" t="inlineStr">
        <is>
          <t>Erstellt durch</t>
        </is>
      </c>
      <c r="C58" s="76" t="n"/>
      <c r="D58" s="64" t="n"/>
      <c r="E58" s="64" t="n"/>
      <c r="F58" s="64" t="n"/>
      <c r="G58" s="64" t="n"/>
      <c r="H58" s="64" t="n"/>
      <c r="I58" s="64" t="n"/>
    </row>
    <row r="59">
      <c r="B59" s="64" t="n"/>
      <c r="C59" s="64" t="n"/>
      <c r="D59" s="64" t="n"/>
      <c r="E59" s="64" t="n"/>
      <c r="F59" s="64" t="n"/>
      <c r="G59" s="64" t="n"/>
      <c r="H59" s="64" t="n"/>
      <c r="I59" s="64" t="n"/>
    </row>
    <row r="60">
      <c r="B60" s="64" t="n"/>
      <c r="C60" s="86" t="n"/>
      <c r="D60" s="64" t="n"/>
      <c r="E60" s="64" t="n"/>
      <c r="F60" s="64" t="n"/>
      <c r="G60" s="64" t="n"/>
      <c r="H60" s="64" t="n"/>
      <c r="I60" s="64" t="n"/>
    </row>
    <row r="61">
      <c r="B61" s="64" t="n"/>
      <c r="C61" s="64" t="n"/>
      <c r="D61" s="64" t="n"/>
      <c r="E61" s="64" t="n"/>
      <c r="F61" s="64" t="n"/>
      <c r="G61" s="64" t="n"/>
      <c r="H61" s="64" t="n"/>
      <c r="I61" s="64" t="n"/>
    </row>
    <row r="62">
      <c r="B62" s="64" t="n"/>
      <c r="C62" s="64" t="n"/>
      <c r="D62" s="64" t="n"/>
      <c r="E62" s="64" t="n"/>
      <c r="F62" s="64" t="n"/>
      <c r="G62" s="64" t="n"/>
      <c r="H62" s="64" t="n"/>
      <c r="I62" s="64" t="n"/>
    </row>
    <row r="63">
      <c r="B63" s="64" t="n"/>
      <c r="C63" s="64" t="n"/>
      <c r="D63" s="64" t="n"/>
      <c r="E63" s="64" t="n"/>
      <c r="F63" s="64" t="n"/>
      <c r="G63" s="64" t="n"/>
      <c r="H63" s="64" t="n"/>
      <c r="I63" s="64" t="n"/>
    </row>
    <row r="64">
      <c r="B64" s="64" t="n"/>
      <c r="C64" s="64" t="n"/>
      <c r="D64" s="64" t="n"/>
      <c r="E64" s="64" t="n"/>
      <c r="F64" s="64" t="n"/>
      <c r="G64" s="64" t="n"/>
      <c r="H64" s="64" t="n"/>
      <c r="I64" s="64" t="n"/>
    </row>
    <row r="65">
      <c r="B65" s="64" t="n"/>
      <c r="C65" s="64" t="n"/>
      <c r="D65" s="64" t="n"/>
      <c r="E65" s="64" t="n"/>
      <c r="F65" s="64" t="n"/>
      <c r="G65" s="64" t="n"/>
      <c r="H65" s="64" t="n"/>
      <c r="I65" s="64" t="n"/>
    </row>
    <row r="66">
      <c r="B66" s="64" t="n"/>
      <c r="C66" s="64" t="n"/>
      <c r="D66" s="64" t="n"/>
      <c r="E66" s="64" t="n"/>
      <c r="F66" s="64" t="n"/>
      <c r="G66" s="64" t="n"/>
      <c r="H66" s="64" t="n"/>
      <c r="I66" s="64" t="n"/>
    </row>
    <row r="67">
      <c r="B67" s="64" t="n"/>
      <c r="C67" s="64" t="n"/>
      <c r="D67" s="64" t="n"/>
      <c r="E67" s="64" t="n"/>
      <c r="F67" s="64" t="n"/>
      <c r="G67" s="64" t="n"/>
      <c r="H67" s="64" t="n"/>
      <c r="I67" s="64" t="n"/>
    </row>
    <row r="68">
      <c r="B68" s="64" t="n"/>
      <c r="C68" s="64" t="n"/>
      <c r="D68" s="64" t="n"/>
      <c r="E68" s="64" t="n"/>
      <c r="F68" s="64" t="n"/>
      <c r="G68" s="64" t="n"/>
      <c r="H68" s="64" t="n"/>
      <c r="I68" s="64" t="n"/>
    </row>
    <row r="69">
      <c r="B69" s="64" t="n"/>
      <c r="C69" s="64" t="n"/>
      <c r="D69" s="64" t="n"/>
      <c r="E69" s="64" t="n"/>
      <c r="F69" s="64" t="n"/>
      <c r="G69" s="64" t="n"/>
      <c r="H69" s="64" t="n"/>
      <c r="I69" s="64" t="n"/>
    </row>
    <row r="70">
      <c r="B70" s="64" t="n"/>
      <c r="C70" s="64" t="n"/>
      <c r="D70" s="64" t="n"/>
      <c r="E70" s="64" t="n"/>
      <c r="F70" s="64" t="n"/>
      <c r="G70" s="64" t="n"/>
      <c r="H70" s="64" t="n"/>
      <c r="I70" s="64" t="n"/>
    </row>
    <row r="71">
      <c r="B71" s="64" t="n"/>
      <c r="C71" s="64" t="n"/>
      <c r="D71" s="64" t="n"/>
      <c r="E71" s="64" t="n"/>
      <c r="F71" s="64" t="n"/>
      <c r="G71" s="64" t="n"/>
      <c r="H71" s="64" t="n"/>
      <c r="I71" s="64" t="n"/>
    </row>
    <row r="72">
      <c r="B72" s="64" t="n"/>
      <c r="C72" s="64" t="n"/>
      <c r="D72" s="64" t="n"/>
      <c r="E72" s="64" t="n"/>
      <c r="F72" s="64" t="n"/>
      <c r="G72" s="64" t="n"/>
      <c r="H72" s="64" t="n"/>
      <c r="I72" s="64" t="n"/>
    </row>
    <row r="73">
      <c r="B73" s="64" t="n"/>
      <c r="C73" s="64" t="n"/>
      <c r="D73" s="64" t="n"/>
      <c r="E73" s="64" t="n"/>
      <c r="F73" s="64" t="n"/>
      <c r="G73" s="64" t="n"/>
      <c r="H73" s="64" t="n"/>
      <c r="I73" s="64" t="n"/>
    </row>
    <row r="74">
      <c r="B74" s="64" t="n"/>
      <c r="C74" s="64" t="n"/>
      <c r="D74" s="64" t="n"/>
      <c r="E74" s="64" t="n"/>
      <c r="F74" s="64" t="n"/>
      <c r="G74" s="64" t="n"/>
      <c r="H74" s="64" t="n"/>
      <c r="I74" s="64" t="n"/>
    </row>
    <row r="75">
      <c r="B75" s="64" t="n"/>
      <c r="C75" s="64" t="n"/>
      <c r="D75" s="64" t="n"/>
      <c r="E75" s="64" t="n"/>
      <c r="F75" s="64" t="n"/>
      <c r="G75" s="64" t="n"/>
      <c r="H75" s="64" t="n"/>
      <c r="I75" s="64" t="n"/>
    </row>
    <row r="76">
      <c r="B76" s="64" t="n"/>
      <c r="C76" s="64" t="n"/>
      <c r="D76" s="64" t="n"/>
      <c r="E76" s="64" t="n"/>
      <c r="F76" s="64" t="n"/>
      <c r="G76" s="64" t="n"/>
      <c r="H76" s="64" t="n"/>
      <c r="I76" s="64" t="n"/>
    </row>
    <row r="77">
      <c r="B77" s="64" t="n"/>
      <c r="C77" s="64" t="n"/>
      <c r="D77" s="64" t="n"/>
      <c r="E77" s="64" t="n"/>
      <c r="F77" s="64" t="n"/>
      <c r="G77" s="64" t="n"/>
      <c r="H77" s="64" t="n"/>
      <c r="I77" s="64" t="n"/>
    </row>
    <row r="78">
      <c r="B78" s="64" t="n"/>
      <c r="C78" s="64" t="n"/>
      <c r="D78" s="64" t="n"/>
      <c r="E78" s="64" t="n"/>
      <c r="F78" s="64" t="n"/>
      <c r="G78" s="64" t="n"/>
      <c r="H78" s="64" t="n"/>
      <c r="I78" s="64" t="n"/>
    </row>
    <row r="79">
      <c r="B79" s="64" t="n"/>
      <c r="C79" s="64" t="n"/>
      <c r="D79" s="64" t="n"/>
      <c r="E79" s="64" t="n"/>
      <c r="F79" s="64" t="n"/>
      <c r="G79" s="64" t="n"/>
      <c r="H79" s="64" t="n"/>
      <c r="I79" s="64" t="n"/>
    </row>
    <row r="80">
      <c r="B80" s="64" t="n"/>
      <c r="C80" s="64" t="n"/>
      <c r="D80" s="64" t="n"/>
      <c r="E80" s="64" t="n"/>
      <c r="F80" s="64" t="n"/>
      <c r="G80" s="64" t="n"/>
      <c r="H80" s="64" t="n"/>
      <c r="I80" s="64" t="n"/>
    </row>
    <row r="81">
      <c r="B81" s="64" t="n"/>
      <c r="C81" s="64" t="n"/>
      <c r="D81" s="64" t="n"/>
      <c r="E81" s="64" t="n"/>
      <c r="F81" s="64" t="n"/>
      <c r="G81" s="64" t="n"/>
      <c r="H81" s="64" t="n"/>
      <c r="I81" s="64" t="n"/>
    </row>
    <row r="82">
      <c r="B82" s="64" t="n"/>
      <c r="C82" s="64" t="n"/>
      <c r="D82" s="64" t="n"/>
      <c r="E82" s="64" t="n"/>
      <c r="F82" s="64" t="n"/>
      <c r="G82" s="64" t="n"/>
      <c r="H82" s="64" t="n"/>
      <c r="I82" s="64" t="n"/>
    </row>
    <row r="83">
      <c r="B83" s="64" t="n"/>
      <c r="C83" s="64" t="n"/>
      <c r="D83" s="64" t="n"/>
      <c r="E83" s="64" t="n"/>
      <c r="F83" s="64" t="n"/>
      <c r="G83" s="64" t="n"/>
      <c r="H83" s="64" t="n"/>
      <c r="I83" s="64" t="n"/>
    </row>
    <row r="84">
      <c r="B84" s="64" t="n"/>
      <c r="C84" s="64" t="n"/>
      <c r="D84" s="64" t="n"/>
      <c r="E84" s="64" t="n"/>
      <c r="F84" s="64" t="n"/>
      <c r="G84" s="64" t="n"/>
      <c r="H84" s="64" t="n"/>
      <c r="I84" s="64" t="n"/>
    </row>
    <row r="85">
      <c r="B85" s="64" t="n"/>
      <c r="C85" s="64" t="n"/>
      <c r="D85" s="64" t="n"/>
      <c r="E85" s="64" t="n"/>
      <c r="F85" s="64" t="n"/>
      <c r="G85" s="64" t="n"/>
      <c r="H85" s="64" t="n"/>
      <c r="I85" s="64" t="n"/>
    </row>
    <row r="86">
      <c r="B86" s="64" t="n"/>
      <c r="C86" s="64" t="n"/>
      <c r="D86" s="64" t="n"/>
      <c r="E86" s="64" t="n"/>
      <c r="F86" s="64" t="n"/>
      <c r="G86" s="64" t="n"/>
      <c r="H86" s="64" t="n"/>
      <c r="I86" s="64" t="n"/>
    </row>
    <row r="87">
      <c r="B87" s="64" t="n"/>
      <c r="C87" s="64" t="n"/>
      <c r="D87" s="64" t="n"/>
      <c r="E87" s="64" t="n"/>
      <c r="F87" s="64" t="n"/>
      <c r="G87" s="64" t="n"/>
      <c r="H87" s="64" t="n"/>
      <c r="I87" s="64" t="n"/>
    </row>
    <row r="88">
      <c r="B88" s="64" t="n"/>
      <c r="C88" s="64" t="n"/>
      <c r="D88" s="64" t="n"/>
      <c r="E88" s="64" t="n"/>
      <c r="F88" s="64" t="n"/>
      <c r="G88" s="64" t="n"/>
      <c r="H88" s="64" t="n"/>
      <c r="I88" s="64" t="n"/>
    </row>
    <row r="89">
      <c r="B89" s="64" t="n"/>
      <c r="C89" s="64" t="n"/>
      <c r="D89" s="64" t="n"/>
      <c r="E89" s="64" t="n"/>
      <c r="F89" s="64" t="n"/>
      <c r="G89" s="64" t="n"/>
      <c r="H89" s="64" t="n"/>
      <c r="I89" s="64" t="n"/>
    </row>
  </sheetData>
  <mergeCells count="3">
    <mergeCell ref="C7:E7"/>
    <mergeCell ref="C6:E6"/>
    <mergeCell ref="C5:E5"/>
  </mergeCells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B2:I89"/>
  <sheetViews>
    <sheetView showGridLines="0" workbookViewId="0">
      <pane xSplit="1" ySplit="14" topLeftCell="B1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" customWidth="1" min="1" max="1"/>
    <col width="6" customWidth="1" min="2" max="2"/>
    <col width="34" customWidth="1" min="3" max="3"/>
    <col width="16" customWidth="1" min="4" max="4"/>
    <col width="12" customWidth="1" min="5" max="5"/>
    <col width="12" customWidth="1" min="6" max="6"/>
    <col width="16" customWidth="1" min="7" max="7"/>
    <col width="12" customWidth="1" min="8" max="8"/>
    <col width="14" customWidth="1" min="9" max="9"/>
  </cols>
  <sheetData>
    <row r="2">
      <c r="B2" s="49" t="inlineStr">
        <is>
          <t>Nebenkostenabrechnung Gewerbe – Mieter 2</t>
        </is>
      </c>
    </row>
    <row r="3">
      <c r="B3" s="2" t="inlineStr">
        <is>
          <t>Automatisch aus Objekt + Mieter + Kostenarten. Vor Versand prüfen.</t>
        </is>
      </c>
    </row>
    <row r="5">
      <c r="B5" s="27" t="inlineStr">
        <is>
          <t>Objekt</t>
        </is>
      </c>
      <c r="C5" s="31">
        <f>Objekt!C5</f>
        <v/>
      </c>
      <c r="D5" s="25" t="n"/>
      <c r="E5" s="26" t="n"/>
    </row>
    <row r="6">
      <c r="B6" s="27" t="inlineStr">
        <is>
          <t>Mieter</t>
        </is>
      </c>
      <c r="C6" s="31">
        <f>Mieter!C7</f>
        <v/>
      </c>
      <c r="D6" s="25" t="n"/>
      <c r="E6" s="26" t="n"/>
    </row>
    <row r="7">
      <c r="B7" s="27" t="inlineStr">
        <is>
          <t>Einheit</t>
        </is>
      </c>
      <c r="C7" s="31">
        <f>Mieter!D7</f>
        <v/>
      </c>
      <c r="D7" s="25" t="n"/>
      <c r="E7" s="26" t="n"/>
    </row>
    <row r="8">
      <c r="B8" s="27" t="inlineStr">
        <is>
          <t>Zeitraum von</t>
        </is>
      </c>
      <c r="C8" s="47">
        <f>Objekt!C7</f>
        <v/>
      </c>
    </row>
    <row r="9">
      <c r="B9" s="27" t="inlineStr">
        <is>
          <t>Zeitraum bis</t>
        </is>
      </c>
      <c r="C9" s="47">
        <f>Objekt!C8</f>
        <v/>
      </c>
    </row>
    <row r="10">
      <c r="B10" s="27" t="inlineStr">
        <is>
          <t>Fläche m²</t>
        </is>
      </c>
      <c r="C10" s="32">
        <f>Mieter!E7</f>
        <v/>
      </c>
    </row>
    <row r="11">
      <c r="B11" s="27" t="inlineStr">
        <is>
          <t>Flächenanteil</t>
        </is>
      </c>
      <c r="C11" s="35">
        <f>Mieter!F7</f>
        <v/>
      </c>
    </row>
    <row r="12">
      <c r="B12" s="27" t="inlineStr">
        <is>
          <t>USt-Option</t>
        </is>
      </c>
      <c r="C12" s="31">
        <f>Objekt!C9</f>
        <v/>
      </c>
    </row>
    <row r="14">
      <c r="B14" s="11" t="inlineStr">
        <is>
          <t>Nr</t>
        </is>
      </c>
      <c r="C14" s="11" t="inlineStr">
        <is>
          <t>Kostenart</t>
        </is>
      </c>
      <c r="D14" s="11" t="inlineStr">
        <is>
          <t>Anteil Mieter netto €</t>
        </is>
      </c>
      <c r="E14" s="11" t="inlineStr">
        <is>
          <t>Schlüssel</t>
        </is>
      </c>
      <c r="F14" s="11" t="inlineStr">
        <is>
          <t>Anteil %</t>
        </is>
      </c>
      <c r="G14" s="11" t="inlineStr">
        <is>
          <t>USt €</t>
        </is>
      </c>
      <c r="H14" s="11" t="inlineStr">
        <is>
          <t>Brutto €</t>
        </is>
      </c>
      <c r="I14" s="64" t="n"/>
    </row>
    <row r="15">
      <c r="B15" s="65" t="n">
        <v>1</v>
      </c>
      <c r="C15" s="65">
        <f>Kostenarten!C6</f>
        <v/>
      </c>
      <c r="D15" s="66">
        <f>Kostenarten!O6</f>
        <v/>
      </c>
      <c r="E15" s="67">
        <f>Kostenarten!I6</f>
        <v/>
      </c>
      <c r="F15" s="68">
        <f>Kostenarten!K6</f>
        <v/>
      </c>
      <c r="G15" s="66">
        <f>IF(Objekt!$C$9="Ja",D15*Objekt!$C$10,0)</f>
        <v/>
      </c>
      <c r="H15" s="66">
        <f>D15+G15</f>
        <v/>
      </c>
      <c r="I15" s="64" t="n"/>
    </row>
    <row r="16">
      <c r="B16" s="65" t="n">
        <v>2</v>
      </c>
      <c r="C16" s="65">
        <f>Kostenarten!C7</f>
        <v/>
      </c>
      <c r="D16" s="66">
        <f>Kostenarten!O7</f>
        <v/>
      </c>
      <c r="E16" s="67">
        <f>Kostenarten!I7</f>
        <v/>
      </c>
      <c r="F16" s="68">
        <f>Kostenarten!K7</f>
        <v/>
      </c>
      <c r="G16" s="66">
        <f>IF(Objekt!$C$9="Ja",D16*Objekt!$C$10,0)</f>
        <v/>
      </c>
      <c r="H16" s="66">
        <f>D16+G16</f>
        <v/>
      </c>
      <c r="I16" s="64" t="n"/>
    </row>
    <row r="17">
      <c r="B17" s="65" t="n">
        <v>3</v>
      </c>
      <c r="C17" s="65">
        <f>Kostenarten!C8</f>
        <v/>
      </c>
      <c r="D17" s="66">
        <f>Kostenarten!O8</f>
        <v/>
      </c>
      <c r="E17" s="67">
        <f>Kostenarten!I8</f>
        <v/>
      </c>
      <c r="F17" s="68">
        <f>Kostenarten!K8</f>
        <v/>
      </c>
      <c r="G17" s="66">
        <f>IF(Objekt!$C$9="Ja",D17*Objekt!$C$10,0)</f>
        <v/>
      </c>
      <c r="H17" s="66">
        <f>D17+G17</f>
        <v/>
      </c>
      <c r="I17" s="64" t="n"/>
    </row>
    <row r="18">
      <c r="B18" s="65" t="n">
        <v>4</v>
      </c>
      <c r="C18" s="65">
        <f>Kostenarten!C9</f>
        <v/>
      </c>
      <c r="D18" s="66">
        <f>Kostenarten!O9</f>
        <v/>
      </c>
      <c r="E18" s="67">
        <f>Kostenarten!I9</f>
        <v/>
      </c>
      <c r="F18" s="68">
        <f>Kostenarten!K9</f>
        <v/>
      </c>
      <c r="G18" s="66">
        <f>IF(Objekt!$C$9="Ja",D18*Objekt!$C$10,0)</f>
        <v/>
      </c>
      <c r="H18" s="66">
        <f>D18+G18</f>
        <v/>
      </c>
      <c r="I18" s="64" t="n"/>
    </row>
    <row r="19">
      <c r="B19" s="65" t="n">
        <v>5</v>
      </c>
      <c r="C19" s="65">
        <f>Kostenarten!C10</f>
        <v/>
      </c>
      <c r="D19" s="66">
        <f>Kostenarten!O10</f>
        <v/>
      </c>
      <c r="E19" s="67">
        <f>Kostenarten!I10</f>
        <v/>
      </c>
      <c r="F19" s="68">
        <f>Kostenarten!K10</f>
        <v/>
      </c>
      <c r="G19" s="66">
        <f>IF(Objekt!$C$9="Ja",D19*Objekt!$C$10,0)</f>
        <v/>
      </c>
      <c r="H19" s="66">
        <f>D19+G19</f>
        <v/>
      </c>
      <c r="I19" s="64" t="n"/>
    </row>
    <row r="20">
      <c r="B20" s="65" t="n">
        <v>6</v>
      </c>
      <c r="C20" s="65">
        <f>Kostenarten!C11</f>
        <v/>
      </c>
      <c r="D20" s="66">
        <f>Kostenarten!O11</f>
        <v/>
      </c>
      <c r="E20" s="67">
        <f>Kostenarten!I11</f>
        <v/>
      </c>
      <c r="F20" s="68">
        <f>Kostenarten!K11</f>
        <v/>
      </c>
      <c r="G20" s="66">
        <f>IF(Objekt!$C$9="Ja",D20*Objekt!$C$10,0)</f>
        <v/>
      </c>
      <c r="H20" s="66">
        <f>D20+G20</f>
        <v/>
      </c>
      <c r="I20" s="64" t="n"/>
    </row>
    <row r="21">
      <c r="B21" s="65" t="n">
        <v>7</v>
      </c>
      <c r="C21" s="65">
        <f>Kostenarten!C12</f>
        <v/>
      </c>
      <c r="D21" s="66">
        <f>Kostenarten!O12</f>
        <v/>
      </c>
      <c r="E21" s="67">
        <f>Kostenarten!I12</f>
        <v/>
      </c>
      <c r="F21" s="68">
        <f>Kostenarten!K12</f>
        <v/>
      </c>
      <c r="G21" s="66">
        <f>IF(Objekt!$C$9="Ja",D21*Objekt!$C$10,0)</f>
        <v/>
      </c>
      <c r="H21" s="66">
        <f>D21+G21</f>
        <v/>
      </c>
      <c r="I21" s="64" t="n"/>
    </row>
    <row r="22">
      <c r="B22" s="65" t="n">
        <v>8</v>
      </c>
      <c r="C22" s="65">
        <f>Kostenarten!C13</f>
        <v/>
      </c>
      <c r="D22" s="66">
        <f>Kostenarten!O13</f>
        <v/>
      </c>
      <c r="E22" s="67">
        <f>Kostenarten!I13</f>
        <v/>
      </c>
      <c r="F22" s="68">
        <f>Kostenarten!K13</f>
        <v/>
      </c>
      <c r="G22" s="66">
        <f>IF(Objekt!$C$9="Ja",D22*Objekt!$C$10,0)</f>
        <v/>
      </c>
      <c r="H22" s="66">
        <f>D22+G22</f>
        <v/>
      </c>
      <c r="I22" s="64" t="n"/>
    </row>
    <row r="23">
      <c r="B23" s="65" t="n">
        <v>9</v>
      </c>
      <c r="C23" s="65">
        <f>Kostenarten!C14</f>
        <v/>
      </c>
      <c r="D23" s="66">
        <f>Kostenarten!O14</f>
        <v/>
      </c>
      <c r="E23" s="67">
        <f>Kostenarten!I14</f>
        <v/>
      </c>
      <c r="F23" s="68">
        <f>Kostenarten!K14</f>
        <v/>
      </c>
      <c r="G23" s="66">
        <f>IF(Objekt!$C$9="Ja",D23*Objekt!$C$10,0)</f>
        <v/>
      </c>
      <c r="H23" s="66">
        <f>D23+G23</f>
        <v/>
      </c>
      <c r="I23" s="64" t="n"/>
    </row>
    <row r="24">
      <c r="B24" s="65" t="n">
        <v>10</v>
      </c>
      <c r="C24" s="65">
        <f>Kostenarten!C15</f>
        <v/>
      </c>
      <c r="D24" s="66">
        <f>Kostenarten!O15</f>
        <v/>
      </c>
      <c r="E24" s="67">
        <f>Kostenarten!I15</f>
        <v/>
      </c>
      <c r="F24" s="68">
        <f>Kostenarten!K15</f>
        <v/>
      </c>
      <c r="G24" s="66">
        <f>IF(Objekt!$C$9="Ja",D24*Objekt!$C$10,0)</f>
        <v/>
      </c>
      <c r="H24" s="66">
        <f>D24+G24</f>
        <v/>
      </c>
      <c r="I24" s="64" t="n"/>
    </row>
    <row r="25">
      <c r="B25" s="65" t="n">
        <v>11</v>
      </c>
      <c r="C25" s="65">
        <f>Kostenarten!C16</f>
        <v/>
      </c>
      <c r="D25" s="66">
        <f>Kostenarten!O16</f>
        <v/>
      </c>
      <c r="E25" s="67">
        <f>Kostenarten!I16</f>
        <v/>
      </c>
      <c r="F25" s="68">
        <f>Kostenarten!K16</f>
        <v/>
      </c>
      <c r="G25" s="66">
        <f>IF(Objekt!$C$9="Ja",D25*Objekt!$C$10,0)</f>
        <v/>
      </c>
      <c r="H25" s="66">
        <f>D25+G25</f>
        <v/>
      </c>
      <c r="I25" s="64" t="n"/>
    </row>
    <row r="26">
      <c r="B26" s="65" t="n">
        <v>12</v>
      </c>
      <c r="C26" s="65">
        <f>Kostenarten!C17</f>
        <v/>
      </c>
      <c r="D26" s="66">
        <f>Kostenarten!O17</f>
        <v/>
      </c>
      <c r="E26" s="67">
        <f>Kostenarten!I17</f>
        <v/>
      </c>
      <c r="F26" s="68">
        <f>Kostenarten!K17</f>
        <v/>
      </c>
      <c r="G26" s="66">
        <f>IF(Objekt!$C$9="Ja",D26*Objekt!$C$10,0)</f>
        <v/>
      </c>
      <c r="H26" s="66">
        <f>D26+G26</f>
        <v/>
      </c>
      <c r="I26" s="64" t="n"/>
    </row>
    <row r="27">
      <c r="B27" s="65" t="n">
        <v>13</v>
      </c>
      <c r="C27" s="65">
        <f>Kostenarten!C18</f>
        <v/>
      </c>
      <c r="D27" s="66">
        <f>Kostenarten!O18</f>
        <v/>
      </c>
      <c r="E27" s="67">
        <f>Kostenarten!I18</f>
        <v/>
      </c>
      <c r="F27" s="68">
        <f>Kostenarten!K18</f>
        <v/>
      </c>
      <c r="G27" s="66">
        <f>IF(Objekt!$C$9="Ja",D27*Objekt!$C$10,0)</f>
        <v/>
      </c>
      <c r="H27" s="66">
        <f>D27+G27</f>
        <v/>
      </c>
      <c r="I27" s="64" t="n"/>
    </row>
    <row r="28">
      <c r="B28" s="65" t="n">
        <v>14</v>
      </c>
      <c r="C28" s="65">
        <f>Kostenarten!C19</f>
        <v/>
      </c>
      <c r="D28" s="66">
        <f>Kostenarten!O19</f>
        <v/>
      </c>
      <c r="E28" s="67">
        <f>Kostenarten!I19</f>
        <v/>
      </c>
      <c r="F28" s="68">
        <f>Kostenarten!K19</f>
        <v/>
      </c>
      <c r="G28" s="66">
        <f>IF(Objekt!$C$9="Ja",D28*Objekt!$C$10,0)</f>
        <v/>
      </c>
      <c r="H28" s="66">
        <f>D28+G28</f>
        <v/>
      </c>
      <c r="I28" s="64" t="n"/>
    </row>
    <row r="29">
      <c r="B29" s="65" t="n">
        <v>15</v>
      </c>
      <c r="C29" s="65">
        <f>Kostenarten!C20</f>
        <v/>
      </c>
      <c r="D29" s="66">
        <f>Kostenarten!O20</f>
        <v/>
      </c>
      <c r="E29" s="67">
        <f>Kostenarten!I20</f>
        <v/>
      </c>
      <c r="F29" s="68">
        <f>Kostenarten!K20</f>
        <v/>
      </c>
      <c r="G29" s="66">
        <f>IF(Objekt!$C$9="Ja",D29*Objekt!$C$10,0)</f>
        <v/>
      </c>
      <c r="H29" s="66">
        <f>D29+G29</f>
        <v/>
      </c>
      <c r="I29" s="64" t="n"/>
    </row>
    <row r="30">
      <c r="B30" s="65" t="n">
        <v>16</v>
      </c>
      <c r="C30" s="65">
        <f>Kostenarten!C21</f>
        <v/>
      </c>
      <c r="D30" s="66">
        <f>Kostenarten!O21</f>
        <v/>
      </c>
      <c r="E30" s="67">
        <f>Kostenarten!I21</f>
        <v/>
      </c>
      <c r="F30" s="68">
        <f>Kostenarten!K21</f>
        <v/>
      </c>
      <c r="G30" s="66">
        <f>IF(Objekt!$C$9="Ja",D30*Objekt!$C$10,0)</f>
        <v/>
      </c>
      <c r="H30" s="66">
        <f>D30+G30</f>
        <v/>
      </c>
      <c r="I30" s="64" t="n"/>
    </row>
    <row r="31">
      <c r="B31" s="65" t="n">
        <v>17</v>
      </c>
      <c r="C31" s="65">
        <f>Kostenarten!C22</f>
        <v/>
      </c>
      <c r="D31" s="66">
        <f>Kostenarten!O22</f>
        <v/>
      </c>
      <c r="E31" s="67">
        <f>Kostenarten!I22</f>
        <v/>
      </c>
      <c r="F31" s="68">
        <f>Kostenarten!K22</f>
        <v/>
      </c>
      <c r="G31" s="66">
        <f>IF(Objekt!$C$9="Ja",D31*Objekt!$C$10,0)</f>
        <v/>
      </c>
      <c r="H31" s="66">
        <f>D31+G31</f>
        <v/>
      </c>
      <c r="I31" s="64" t="n"/>
    </row>
    <row r="32">
      <c r="B32" s="65" t="n">
        <v>18</v>
      </c>
      <c r="C32" s="65">
        <f>Kostenarten!C23</f>
        <v/>
      </c>
      <c r="D32" s="66">
        <f>Kostenarten!O23</f>
        <v/>
      </c>
      <c r="E32" s="67">
        <f>Kostenarten!I23</f>
        <v/>
      </c>
      <c r="F32" s="68">
        <f>Kostenarten!K23</f>
        <v/>
      </c>
      <c r="G32" s="66">
        <f>IF(Objekt!$C$9="Ja",D32*Objekt!$C$10,0)</f>
        <v/>
      </c>
      <c r="H32" s="66">
        <f>D32+G32</f>
        <v/>
      </c>
      <c r="I32" s="64" t="n"/>
    </row>
    <row r="33">
      <c r="B33" s="65" t="n">
        <v>19</v>
      </c>
      <c r="C33" s="65">
        <f>Kostenarten!C24</f>
        <v/>
      </c>
      <c r="D33" s="66">
        <f>Kostenarten!O24</f>
        <v/>
      </c>
      <c r="E33" s="67">
        <f>Kostenarten!I24</f>
        <v/>
      </c>
      <c r="F33" s="68">
        <f>Kostenarten!K24</f>
        <v/>
      </c>
      <c r="G33" s="66">
        <f>IF(Objekt!$C$9="Ja",D33*Objekt!$C$10,0)</f>
        <v/>
      </c>
      <c r="H33" s="66">
        <f>D33+G33</f>
        <v/>
      </c>
      <c r="I33" s="64" t="n"/>
    </row>
    <row r="34">
      <c r="B34" s="65" t="n">
        <v>20</v>
      </c>
      <c r="C34" s="65">
        <f>Kostenarten!C25</f>
        <v/>
      </c>
      <c r="D34" s="66">
        <f>Kostenarten!O25</f>
        <v/>
      </c>
      <c r="E34" s="67">
        <f>Kostenarten!I25</f>
        <v/>
      </c>
      <c r="F34" s="68">
        <f>Kostenarten!K25</f>
        <v/>
      </c>
      <c r="G34" s="66">
        <f>IF(Objekt!$C$9="Ja",D34*Objekt!$C$10,0)</f>
        <v/>
      </c>
      <c r="H34" s="66">
        <f>D34+G34</f>
        <v/>
      </c>
      <c r="I34" s="64" t="n"/>
    </row>
    <row r="35">
      <c r="B35" s="65" t="n">
        <v>21</v>
      </c>
      <c r="C35" s="65">
        <f>Kostenarten!C26</f>
        <v/>
      </c>
      <c r="D35" s="66">
        <f>Kostenarten!O26</f>
        <v/>
      </c>
      <c r="E35" s="67">
        <f>Kostenarten!I26</f>
        <v/>
      </c>
      <c r="F35" s="68">
        <f>Kostenarten!K26</f>
        <v/>
      </c>
      <c r="G35" s="66">
        <f>IF(Objekt!$C$9="Ja",D35*Objekt!$C$10,0)</f>
        <v/>
      </c>
      <c r="H35" s="66">
        <f>D35+G35</f>
        <v/>
      </c>
      <c r="I35" s="64" t="n"/>
    </row>
    <row r="36">
      <c r="B36" s="65" t="n">
        <v>22</v>
      </c>
      <c r="C36" s="65">
        <f>Kostenarten!C27</f>
        <v/>
      </c>
      <c r="D36" s="66">
        <f>Kostenarten!O27</f>
        <v/>
      </c>
      <c r="E36" s="67">
        <f>Kostenarten!I27</f>
        <v/>
      </c>
      <c r="F36" s="68">
        <f>Kostenarten!K27</f>
        <v/>
      </c>
      <c r="G36" s="66">
        <f>IF(Objekt!$C$9="Ja",D36*Objekt!$C$10,0)</f>
        <v/>
      </c>
      <c r="H36" s="66">
        <f>D36+G36</f>
        <v/>
      </c>
      <c r="I36" s="64" t="n"/>
    </row>
    <row r="37">
      <c r="B37" s="65" t="n">
        <v>23</v>
      </c>
      <c r="C37" s="65">
        <f>Kostenarten!C28</f>
        <v/>
      </c>
      <c r="D37" s="66">
        <f>Kostenarten!O28</f>
        <v/>
      </c>
      <c r="E37" s="67">
        <f>Kostenarten!I28</f>
        <v/>
      </c>
      <c r="F37" s="68">
        <f>Kostenarten!K28</f>
        <v/>
      </c>
      <c r="G37" s="66">
        <f>IF(Objekt!$C$9="Ja",D37*Objekt!$C$10,0)</f>
        <v/>
      </c>
      <c r="H37" s="66">
        <f>D37+G37</f>
        <v/>
      </c>
      <c r="I37" s="64" t="n"/>
    </row>
    <row r="38">
      <c r="B38" s="65" t="n">
        <v>24</v>
      </c>
      <c r="C38" s="65">
        <f>Kostenarten!C29</f>
        <v/>
      </c>
      <c r="D38" s="66">
        <f>Kostenarten!O29</f>
        <v/>
      </c>
      <c r="E38" s="67">
        <f>Kostenarten!I29</f>
        <v/>
      </c>
      <c r="F38" s="68">
        <f>Kostenarten!K29</f>
        <v/>
      </c>
      <c r="G38" s="66">
        <f>IF(Objekt!$C$9="Ja",D38*Objekt!$C$10,0)</f>
        <v/>
      </c>
      <c r="H38" s="66">
        <f>D38+G38</f>
        <v/>
      </c>
      <c r="I38" s="64" t="n"/>
    </row>
    <row r="39">
      <c r="B39" s="65" t="n">
        <v>25</v>
      </c>
      <c r="C39" s="65">
        <f>Kostenarten!C30</f>
        <v/>
      </c>
      <c r="D39" s="66">
        <f>Kostenarten!O30</f>
        <v/>
      </c>
      <c r="E39" s="67">
        <f>Kostenarten!I30</f>
        <v/>
      </c>
      <c r="F39" s="68">
        <f>Kostenarten!K30</f>
        <v/>
      </c>
      <c r="G39" s="66">
        <f>IF(Objekt!$C$9="Ja",D39*Objekt!$C$10,0)</f>
        <v/>
      </c>
      <c r="H39" s="66">
        <f>D39+G39</f>
        <v/>
      </c>
      <c r="I39" s="64" t="n"/>
    </row>
    <row r="40">
      <c r="B40" s="65" t="n">
        <v>26</v>
      </c>
      <c r="C40" s="65">
        <f>Kostenarten!C31</f>
        <v/>
      </c>
      <c r="D40" s="66">
        <f>Kostenarten!O31</f>
        <v/>
      </c>
      <c r="E40" s="67">
        <f>Kostenarten!I31</f>
        <v/>
      </c>
      <c r="F40" s="68">
        <f>Kostenarten!K31</f>
        <v/>
      </c>
      <c r="G40" s="66">
        <f>IF(Objekt!$C$9="Ja",D40*Objekt!$C$10,0)</f>
        <v/>
      </c>
      <c r="H40" s="66">
        <f>D40+G40</f>
        <v/>
      </c>
      <c r="I40" s="64" t="n"/>
    </row>
    <row r="41">
      <c r="B41" s="65" t="n">
        <v>27</v>
      </c>
      <c r="C41" s="69">
        <f>Kostenarten!C32</f>
        <v/>
      </c>
      <c r="D41" s="66">
        <f>Kostenarten!O32</f>
        <v/>
      </c>
      <c r="E41" s="67">
        <f>Kostenarten!I32</f>
        <v/>
      </c>
      <c r="F41" s="68">
        <f>Kostenarten!K32</f>
        <v/>
      </c>
      <c r="G41" s="66">
        <f>IF(Objekt!$C$9="Ja",D41*Objekt!$C$10,0)</f>
        <v/>
      </c>
      <c r="H41" s="66">
        <f>D41+G41</f>
        <v/>
      </c>
      <c r="I41" s="64" t="n"/>
    </row>
    <row r="42">
      <c r="B42" s="65" t="n">
        <v>28</v>
      </c>
      <c r="C42" s="69">
        <f>Kostenarten!C33</f>
        <v/>
      </c>
      <c r="D42" s="66">
        <f>Kostenarten!O33</f>
        <v/>
      </c>
      <c r="E42" s="67">
        <f>Kostenarten!I33</f>
        <v/>
      </c>
      <c r="F42" s="68">
        <f>Kostenarten!K33</f>
        <v/>
      </c>
      <c r="G42" s="66">
        <f>IF(Objekt!$C$9="Ja",D42*Objekt!$C$10,0)</f>
        <v/>
      </c>
      <c r="H42" s="66">
        <f>D42+G42</f>
        <v/>
      </c>
      <c r="I42" s="64" t="n"/>
    </row>
    <row r="43">
      <c r="B43" s="65" t="n">
        <v>29</v>
      </c>
      <c r="C43" s="69">
        <f>Kostenarten!C34</f>
        <v/>
      </c>
      <c r="D43" s="66">
        <f>Kostenarten!O34</f>
        <v/>
      </c>
      <c r="E43" s="67">
        <f>Kostenarten!I34</f>
        <v/>
      </c>
      <c r="F43" s="68">
        <f>Kostenarten!K34</f>
        <v/>
      </c>
      <c r="G43" s="66">
        <f>IF(Objekt!$C$9="Ja",D43*Objekt!$C$10,0)</f>
        <v/>
      </c>
      <c r="H43" s="66">
        <f>D43+G43</f>
        <v/>
      </c>
      <c r="I43" s="64" t="n"/>
    </row>
    <row r="44">
      <c r="B44" s="65" t="n">
        <v>30</v>
      </c>
      <c r="C44" s="69">
        <f>Kostenarten!C35</f>
        <v/>
      </c>
      <c r="D44" s="66">
        <f>Kostenarten!O35</f>
        <v/>
      </c>
      <c r="E44" s="67">
        <f>Kostenarten!I35</f>
        <v/>
      </c>
      <c r="F44" s="68">
        <f>Kostenarten!K35</f>
        <v/>
      </c>
      <c r="G44" s="66">
        <f>IF(Objekt!$C$9="Ja",D44*Objekt!$C$10,0)</f>
        <v/>
      </c>
      <c r="H44" s="66">
        <f>D44+G44</f>
        <v/>
      </c>
      <c r="I44" s="64" t="n"/>
    </row>
    <row r="45">
      <c r="B45" s="65" t="n">
        <v>31</v>
      </c>
      <c r="C45" s="69">
        <f>Kostenarten!C36</f>
        <v/>
      </c>
      <c r="D45" s="66">
        <f>Kostenarten!O36</f>
        <v/>
      </c>
      <c r="E45" s="67">
        <f>Kostenarten!I36</f>
        <v/>
      </c>
      <c r="F45" s="68">
        <f>Kostenarten!K36</f>
        <v/>
      </c>
      <c r="G45" s="66">
        <f>IF(Objekt!$C$9="Ja",D45*Objekt!$C$10,0)</f>
        <v/>
      </c>
      <c r="H45" s="66">
        <f>D45+G45</f>
        <v/>
      </c>
      <c r="I45" s="64" t="n"/>
    </row>
    <row r="46">
      <c r="B46" s="64" t="n"/>
      <c r="C46" s="83" t="inlineStr">
        <is>
          <t>Zwischensumme</t>
        </is>
      </c>
      <c r="D46" s="57">
        <f>SUM(D15:D45)</f>
        <v/>
      </c>
      <c r="E46" s="64" t="n"/>
      <c r="F46" s="84" t="n"/>
      <c r="G46" s="57">
        <f>SUM(G15:G45)</f>
        <v/>
      </c>
      <c r="H46" s="57">
        <f>SUM(H15:H45)</f>
        <v/>
      </c>
      <c r="I46" s="64" t="n"/>
    </row>
    <row r="47">
      <c r="B47" s="64" t="n"/>
      <c r="C47" s="64" t="n"/>
      <c r="D47" s="85" t="n"/>
      <c r="E47" s="64" t="n"/>
      <c r="F47" s="84" t="n"/>
      <c r="G47" s="85" t="n"/>
      <c r="H47" s="85" t="n"/>
      <c r="I47" s="64" t="n"/>
    </row>
    <row r="48">
      <c r="B48" s="71" t="inlineStr">
        <is>
          <t>Ergebnis</t>
        </is>
      </c>
      <c r="C48" s="64" t="n"/>
      <c r="D48" s="85" t="n"/>
      <c r="E48" s="64" t="n"/>
      <c r="F48" s="84" t="n"/>
      <c r="G48" s="85" t="n"/>
      <c r="H48" s="85" t="n"/>
      <c r="I48" s="64" t="n"/>
    </row>
    <row r="49">
      <c r="B49" s="72" t="inlineStr">
        <is>
          <t>Summe Anteil netto</t>
        </is>
      </c>
      <c r="C49" s="66">
        <f>D46</f>
        <v/>
      </c>
      <c r="D49" s="85" t="n"/>
      <c r="E49" s="64" t="n"/>
      <c r="F49" s="64" t="n"/>
      <c r="G49" s="85" t="n"/>
      <c r="H49" s="85" t="n"/>
      <c r="I49" s="64" t="n"/>
    </row>
    <row r="50">
      <c r="B50" s="72" t="inlineStr">
        <is>
          <t>zzgl. Umsatzsteuer</t>
        </is>
      </c>
      <c r="C50" s="66">
        <f>G46</f>
        <v/>
      </c>
      <c r="D50" s="64" t="n"/>
      <c r="E50" s="64" t="n"/>
      <c r="F50" s="64" t="n"/>
      <c r="G50" s="64" t="n"/>
      <c r="H50" s="64" t="n"/>
      <c r="I50" s="64" t="n"/>
    </row>
    <row r="51">
      <c r="B51" s="72" t="inlineStr">
        <is>
          <t>Summe brutto</t>
        </is>
      </c>
      <c r="C51" s="66">
        <f>H46</f>
        <v/>
      </c>
      <c r="D51" s="64" t="n"/>
      <c r="E51" s="64" t="n"/>
      <c r="F51" s="64" t="n"/>
      <c r="G51" s="64" t="n"/>
      <c r="H51" s="64" t="n"/>
      <c r="I51" s="64" t="n"/>
    </row>
    <row r="52">
      <c r="B52" s="72" t="inlineStr">
        <is>
          <t>abzgl. Vorauszahlungen brutto</t>
        </is>
      </c>
      <c r="C52" s="66">
        <f>Mieter!J7</f>
        <v/>
      </c>
      <c r="D52" s="64" t="n"/>
      <c r="E52" s="64" t="n"/>
      <c r="F52" s="64" t="n"/>
      <c r="G52" s="64" t="n"/>
      <c r="H52" s="64" t="n"/>
      <c r="I52" s="64" t="n"/>
    </row>
    <row r="53">
      <c r="B53" s="73" t="inlineStr">
        <is>
          <t>Nachzahlung / Guthaben (−)</t>
        </is>
      </c>
      <c r="C53" s="57">
        <f>C51-C52</f>
        <v/>
      </c>
      <c r="D53" s="64" t="n"/>
      <c r="E53" s="64" t="n"/>
      <c r="F53" s="64" t="n"/>
      <c r="G53" s="64" t="n"/>
      <c r="H53" s="64" t="n"/>
      <c r="I53" s="64" t="n"/>
    </row>
    <row r="54">
      <c r="B54" s="64" t="n"/>
      <c r="C54" s="85" t="n"/>
      <c r="D54" s="64" t="n"/>
      <c r="E54" s="64" t="n"/>
      <c r="F54" s="64" t="n"/>
      <c r="G54" s="64" t="n"/>
      <c r="H54" s="64" t="n"/>
      <c r="I54" s="64" t="n"/>
    </row>
    <row r="55">
      <c r="B55" s="74" t="inlineStr">
        <is>
          <t>Einzelumlagen mit Zuordnung M1–M4 sind in der Summe enthalten.</t>
        </is>
      </c>
      <c r="C55" s="85" t="n"/>
      <c r="D55" s="64" t="n"/>
      <c r="E55" s="64" t="n"/>
      <c r="F55" s="64" t="n"/>
      <c r="G55" s="64" t="n"/>
      <c r="H55" s="64" t="n"/>
      <c r="I55" s="64" t="n"/>
    </row>
    <row r="56">
      <c r="B56" s="64" t="n"/>
      <c r="C56" s="85" t="n"/>
      <c r="D56" s="64" t="n"/>
      <c r="E56" s="64" t="n"/>
      <c r="F56" s="64" t="n"/>
      <c r="G56" s="64" t="n"/>
      <c r="H56" s="64" t="n"/>
      <c r="I56" s="64" t="n"/>
    </row>
    <row r="57">
      <c r="B57" s="72" t="inlineStr">
        <is>
          <t>Erstellt am</t>
        </is>
      </c>
      <c r="C57" s="75" t="n">
        <v>46241</v>
      </c>
      <c r="D57" s="64" t="n"/>
      <c r="E57" s="64" t="n"/>
      <c r="F57" s="64" t="n"/>
      <c r="G57" s="64" t="n"/>
      <c r="H57" s="64" t="n"/>
      <c r="I57" s="64" t="n"/>
    </row>
    <row r="58">
      <c r="B58" s="72" t="inlineStr">
        <is>
          <t>Erstellt durch</t>
        </is>
      </c>
      <c r="C58" s="76" t="n"/>
      <c r="D58" s="64" t="n"/>
      <c r="E58" s="64" t="n"/>
      <c r="F58" s="64" t="n"/>
      <c r="G58" s="64" t="n"/>
      <c r="H58" s="64" t="n"/>
      <c r="I58" s="64" t="n"/>
    </row>
    <row r="59">
      <c r="B59" s="64" t="n"/>
      <c r="C59" s="64" t="n"/>
      <c r="D59" s="64" t="n"/>
      <c r="E59" s="64" t="n"/>
      <c r="F59" s="64" t="n"/>
      <c r="G59" s="64" t="n"/>
      <c r="H59" s="64" t="n"/>
      <c r="I59" s="64" t="n"/>
    </row>
    <row r="60">
      <c r="B60" s="64" t="n"/>
      <c r="C60" s="86" t="n"/>
      <c r="D60" s="64" t="n"/>
      <c r="E60" s="64" t="n"/>
      <c r="F60" s="64" t="n"/>
      <c r="G60" s="64" t="n"/>
      <c r="H60" s="64" t="n"/>
      <c r="I60" s="64" t="n"/>
    </row>
    <row r="61">
      <c r="B61" s="64" t="n"/>
      <c r="C61" s="64" t="n"/>
      <c r="D61" s="64" t="n"/>
      <c r="E61" s="64" t="n"/>
      <c r="F61" s="64" t="n"/>
      <c r="G61" s="64" t="n"/>
      <c r="H61" s="64" t="n"/>
      <c r="I61" s="64" t="n"/>
    </row>
    <row r="62">
      <c r="B62" s="64" t="n"/>
      <c r="C62" s="64" t="n"/>
      <c r="D62" s="64" t="n"/>
      <c r="E62" s="64" t="n"/>
      <c r="F62" s="64" t="n"/>
      <c r="G62" s="64" t="n"/>
      <c r="H62" s="64" t="n"/>
      <c r="I62" s="64" t="n"/>
    </row>
    <row r="63">
      <c r="B63" s="64" t="n"/>
      <c r="C63" s="64" t="n"/>
      <c r="D63" s="64" t="n"/>
      <c r="E63" s="64" t="n"/>
      <c r="F63" s="64" t="n"/>
      <c r="G63" s="64" t="n"/>
      <c r="H63" s="64" t="n"/>
      <c r="I63" s="64" t="n"/>
    </row>
    <row r="64">
      <c r="B64" s="64" t="n"/>
      <c r="C64" s="64" t="n"/>
      <c r="D64" s="64" t="n"/>
      <c r="E64" s="64" t="n"/>
      <c r="F64" s="64" t="n"/>
      <c r="G64" s="64" t="n"/>
      <c r="H64" s="64" t="n"/>
      <c r="I64" s="64" t="n"/>
    </row>
    <row r="65">
      <c r="B65" s="64" t="n"/>
      <c r="C65" s="64" t="n"/>
      <c r="D65" s="64" t="n"/>
      <c r="E65" s="64" t="n"/>
      <c r="F65" s="64" t="n"/>
      <c r="G65" s="64" t="n"/>
      <c r="H65" s="64" t="n"/>
      <c r="I65" s="64" t="n"/>
    </row>
    <row r="66">
      <c r="B66" s="64" t="n"/>
      <c r="C66" s="64" t="n"/>
      <c r="D66" s="64" t="n"/>
      <c r="E66" s="64" t="n"/>
      <c r="F66" s="64" t="n"/>
      <c r="G66" s="64" t="n"/>
      <c r="H66" s="64" t="n"/>
      <c r="I66" s="64" t="n"/>
    </row>
    <row r="67">
      <c r="B67" s="64" t="n"/>
      <c r="C67" s="64" t="n"/>
      <c r="D67" s="64" t="n"/>
      <c r="E67" s="64" t="n"/>
      <c r="F67" s="64" t="n"/>
      <c r="G67" s="64" t="n"/>
      <c r="H67" s="64" t="n"/>
      <c r="I67" s="64" t="n"/>
    </row>
    <row r="68">
      <c r="B68" s="64" t="n"/>
      <c r="C68" s="64" t="n"/>
      <c r="D68" s="64" t="n"/>
      <c r="E68" s="64" t="n"/>
      <c r="F68" s="64" t="n"/>
      <c r="G68" s="64" t="n"/>
      <c r="H68" s="64" t="n"/>
      <c r="I68" s="64" t="n"/>
    </row>
    <row r="69">
      <c r="B69" s="64" t="n"/>
      <c r="C69" s="64" t="n"/>
      <c r="D69" s="64" t="n"/>
      <c r="E69" s="64" t="n"/>
      <c r="F69" s="64" t="n"/>
      <c r="G69" s="64" t="n"/>
      <c r="H69" s="64" t="n"/>
      <c r="I69" s="64" t="n"/>
    </row>
    <row r="70">
      <c r="B70" s="64" t="n"/>
      <c r="C70" s="64" t="n"/>
      <c r="D70" s="64" t="n"/>
      <c r="E70" s="64" t="n"/>
      <c r="F70" s="64" t="n"/>
      <c r="G70" s="64" t="n"/>
      <c r="H70" s="64" t="n"/>
      <c r="I70" s="64" t="n"/>
    </row>
    <row r="71">
      <c r="B71" s="64" t="n"/>
      <c r="C71" s="64" t="n"/>
      <c r="D71" s="64" t="n"/>
      <c r="E71" s="64" t="n"/>
      <c r="F71" s="64" t="n"/>
      <c r="G71" s="64" t="n"/>
      <c r="H71" s="64" t="n"/>
      <c r="I71" s="64" t="n"/>
    </row>
    <row r="72">
      <c r="B72" s="64" t="n"/>
      <c r="C72" s="64" t="n"/>
      <c r="D72" s="64" t="n"/>
      <c r="E72" s="64" t="n"/>
      <c r="F72" s="64" t="n"/>
      <c r="G72" s="64" t="n"/>
      <c r="H72" s="64" t="n"/>
      <c r="I72" s="64" t="n"/>
    </row>
    <row r="73">
      <c r="B73" s="64" t="n"/>
      <c r="C73" s="64" t="n"/>
      <c r="D73" s="64" t="n"/>
      <c r="E73" s="64" t="n"/>
      <c r="F73" s="64" t="n"/>
      <c r="G73" s="64" t="n"/>
      <c r="H73" s="64" t="n"/>
      <c r="I73" s="64" t="n"/>
    </row>
    <row r="74">
      <c r="B74" s="64" t="n"/>
      <c r="C74" s="64" t="n"/>
      <c r="D74" s="64" t="n"/>
      <c r="E74" s="64" t="n"/>
      <c r="F74" s="64" t="n"/>
      <c r="G74" s="64" t="n"/>
      <c r="H74" s="64" t="n"/>
      <c r="I74" s="64" t="n"/>
    </row>
    <row r="75">
      <c r="B75" s="64" t="n"/>
      <c r="C75" s="64" t="n"/>
      <c r="D75" s="64" t="n"/>
      <c r="E75" s="64" t="n"/>
      <c r="F75" s="64" t="n"/>
      <c r="G75" s="64" t="n"/>
      <c r="H75" s="64" t="n"/>
      <c r="I75" s="64" t="n"/>
    </row>
    <row r="76">
      <c r="B76" s="64" t="n"/>
      <c r="C76" s="64" t="n"/>
      <c r="D76" s="64" t="n"/>
      <c r="E76" s="64" t="n"/>
      <c r="F76" s="64" t="n"/>
      <c r="G76" s="64" t="n"/>
      <c r="H76" s="64" t="n"/>
      <c r="I76" s="64" t="n"/>
    </row>
    <row r="77">
      <c r="B77" s="64" t="n"/>
      <c r="C77" s="64" t="n"/>
      <c r="D77" s="64" t="n"/>
      <c r="E77" s="64" t="n"/>
      <c r="F77" s="64" t="n"/>
      <c r="G77" s="64" t="n"/>
      <c r="H77" s="64" t="n"/>
      <c r="I77" s="64" t="n"/>
    </row>
    <row r="78">
      <c r="B78" s="64" t="n"/>
      <c r="C78" s="64" t="n"/>
      <c r="D78" s="64" t="n"/>
      <c r="E78" s="64" t="n"/>
      <c r="F78" s="64" t="n"/>
      <c r="G78" s="64" t="n"/>
      <c r="H78" s="64" t="n"/>
      <c r="I78" s="64" t="n"/>
    </row>
    <row r="79">
      <c r="B79" s="64" t="n"/>
      <c r="C79" s="64" t="n"/>
      <c r="D79" s="64" t="n"/>
      <c r="E79" s="64" t="n"/>
      <c r="F79" s="64" t="n"/>
      <c r="G79" s="64" t="n"/>
      <c r="H79" s="64" t="n"/>
      <c r="I79" s="64" t="n"/>
    </row>
    <row r="80">
      <c r="B80" s="64" t="n"/>
      <c r="C80" s="64" t="n"/>
      <c r="D80" s="64" t="n"/>
      <c r="E80" s="64" t="n"/>
      <c r="F80" s="64" t="n"/>
      <c r="G80" s="64" t="n"/>
      <c r="H80" s="64" t="n"/>
      <c r="I80" s="64" t="n"/>
    </row>
    <row r="81">
      <c r="B81" s="64" t="n"/>
      <c r="C81" s="64" t="n"/>
      <c r="D81" s="64" t="n"/>
      <c r="E81" s="64" t="n"/>
      <c r="F81" s="64" t="n"/>
      <c r="G81" s="64" t="n"/>
      <c r="H81" s="64" t="n"/>
      <c r="I81" s="64" t="n"/>
    </row>
    <row r="82">
      <c r="B82" s="64" t="n"/>
      <c r="C82" s="64" t="n"/>
      <c r="D82" s="64" t="n"/>
      <c r="E82" s="64" t="n"/>
      <c r="F82" s="64" t="n"/>
      <c r="G82" s="64" t="n"/>
      <c r="H82" s="64" t="n"/>
      <c r="I82" s="64" t="n"/>
    </row>
    <row r="83">
      <c r="B83" s="64" t="n"/>
      <c r="C83" s="64" t="n"/>
      <c r="D83" s="64" t="n"/>
      <c r="E83" s="64" t="n"/>
      <c r="F83" s="64" t="n"/>
      <c r="G83" s="64" t="n"/>
      <c r="H83" s="64" t="n"/>
      <c r="I83" s="64" t="n"/>
    </row>
    <row r="84">
      <c r="B84" s="64" t="n"/>
      <c r="C84" s="64" t="n"/>
      <c r="D84" s="64" t="n"/>
      <c r="E84" s="64" t="n"/>
      <c r="F84" s="64" t="n"/>
      <c r="G84" s="64" t="n"/>
      <c r="H84" s="64" t="n"/>
      <c r="I84" s="64" t="n"/>
    </row>
    <row r="85">
      <c r="B85" s="64" t="n"/>
      <c r="C85" s="64" t="n"/>
      <c r="D85" s="64" t="n"/>
      <c r="E85" s="64" t="n"/>
      <c r="F85" s="64" t="n"/>
      <c r="G85" s="64" t="n"/>
      <c r="H85" s="64" t="n"/>
      <c r="I85" s="64" t="n"/>
    </row>
    <row r="86">
      <c r="B86" s="64" t="n"/>
      <c r="C86" s="64" t="n"/>
      <c r="D86" s="64" t="n"/>
      <c r="E86" s="64" t="n"/>
      <c r="F86" s="64" t="n"/>
      <c r="G86" s="64" t="n"/>
      <c r="H86" s="64" t="n"/>
      <c r="I86" s="64" t="n"/>
    </row>
    <row r="87">
      <c r="B87" s="64" t="n"/>
      <c r="C87" s="64" t="n"/>
      <c r="D87" s="64" t="n"/>
      <c r="E87" s="64" t="n"/>
      <c r="F87" s="64" t="n"/>
      <c r="G87" s="64" t="n"/>
      <c r="H87" s="64" t="n"/>
      <c r="I87" s="64" t="n"/>
    </row>
    <row r="88">
      <c r="B88" s="64" t="n"/>
      <c r="C88" s="64" t="n"/>
      <c r="D88" s="64" t="n"/>
      <c r="E88" s="64" t="n"/>
      <c r="F88" s="64" t="n"/>
      <c r="G88" s="64" t="n"/>
      <c r="H88" s="64" t="n"/>
      <c r="I88" s="64" t="n"/>
    </row>
    <row r="89">
      <c r="B89" s="64" t="n"/>
      <c r="C89" s="64" t="n"/>
      <c r="D89" s="64" t="n"/>
      <c r="E89" s="64" t="n"/>
      <c r="F89" s="64" t="n"/>
      <c r="G89" s="64" t="n"/>
      <c r="H89" s="64" t="n"/>
      <c r="I89" s="64" t="n"/>
    </row>
  </sheetData>
  <mergeCells count="3">
    <mergeCell ref="C7:E7"/>
    <mergeCell ref="C6:E6"/>
    <mergeCell ref="C5:E5"/>
  </mergeCells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B2:I89"/>
  <sheetViews>
    <sheetView showGridLines="0" workbookViewId="0">
      <pane xSplit="1" ySplit="14" topLeftCell="B1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" customWidth="1" min="1" max="1"/>
    <col width="6" customWidth="1" min="2" max="2"/>
    <col width="34" customWidth="1" min="3" max="3"/>
    <col width="16" customWidth="1" min="4" max="4"/>
    <col width="12" customWidth="1" min="5" max="5"/>
    <col width="12" customWidth="1" min="6" max="6"/>
    <col width="16" customWidth="1" min="7" max="7"/>
    <col width="12" customWidth="1" min="8" max="8"/>
    <col width="14" customWidth="1" min="9" max="9"/>
  </cols>
  <sheetData>
    <row r="2">
      <c r="B2" s="50" t="inlineStr">
        <is>
          <t>Nebenkostenabrechnung Gewerbe – Mieter 3</t>
        </is>
      </c>
    </row>
    <row r="3">
      <c r="B3" s="2" t="inlineStr">
        <is>
          <t>Automatisch aus Objekt + Mieter + Kostenarten. Vor Versand prüfen.</t>
        </is>
      </c>
    </row>
    <row r="5">
      <c r="B5" s="27" t="inlineStr">
        <is>
          <t>Objekt</t>
        </is>
      </c>
      <c r="C5" s="31">
        <f>Objekt!C5</f>
        <v/>
      </c>
      <c r="D5" s="25" t="n"/>
      <c r="E5" s="26" t="n"/>
    </row>
    <row r="6">
      <c r="B6" s="27" t="inlineStr">
        <is>
          <t>Mieter</t>
        </is>
      </c>
      <c r="C6" s="31">
        <f>Mieter!C8</f>
        <v/>
      </c>
      <c r="D6" s="25" t="n"/>
      <c r="E6" s="26" t="n"/>
    </row>
    <row r="7">
      <c r="B7" s="27" t="inlineStr">
        <is>
          <t>Einheit</t>
        </is>
      </c>
      <c r="C7" s="31">
        <f>Mieter!D8</f>
        <v/>
      </c>
      <c r="D7" s="25" t="n"/>
      <c r="E7" s="26" t="n"/>
    </row>
    <row r="8">
      <c r="B8" s="27" t="inlineStr">
        <is>
          <t>Zeitraum von</t>
        </is>
      </c>
      <c r="C8" s="47">
        <f>Objekt!C7</f>
        <v/>
      </c>
    </row>
    <row r="9">
      <c r="B9" s="27" t="inlineStr">
        <is>
          <t>Zeitraum bis</t>
        </is>
      </c>
      <c r="C9" s="47">
        <f>Objekt!C8</f>
        <v/>
      </c>
    </row>
    <row r="10">
      <c r="B10" s="27" t="inlineStr">
        <is>
          <t>Fläche m²</t>
        </is>
      </c>
      <c r="C10" s="32">
        <f>Mieter!E8</f>
        <v/>
      </c>
    </row>
    <row r="11">
      <c r="B11" s="27" t="inlineStr">
        <is>
          <t>Flächenanteil</t>
        </is>
      </c>
      <c r="C11" s="35">
        <f>Mieter!F8</f>
        <v/>
      </c>
    </row>
    <row r="12">
      <c r="B12" s="27" t="inlineStr">
        <is>
          <t>USt-Option</t>
        </is>
      </c>
      <c r="C12" s="31">
        <f>Objekt!C9</f>
        <v/>
      </c>
    </row>
    <row r="14">
      <c r="B14" s="11" t="inlineStr">
        <is>
          <t>Nr</t>
        </is>
      </c>
      <c r="C14" s="11" t="inlineStr">
        <is>
          <t>Kostenart</t>
        </is>
      </c>
      <c r="D14" s="11" t="inlineStr">
        <is>
          <t>Anteil Mieter netto €</t>
        </is>
      </c>
      <c r="E14" s="11" t="inlineStr">
        <is>
          <t>Schlüssel</t>
        </is>
      </c>
      <c r="F14" s="11" t="inlineStr">
        <is>
          <t>Anteil %</t>
        </is>
      </c>
      <c r="G14" s="11" t="inlineStr">
        <is>
          <t>USt €</t>
        </is>
      </c>
      <c r="H14" s="11" t="inlineStr">
        <is>
          <t>Brutto €</t>
        </is>
      </c>
      <c r="I14" s="64" t="n"/>
    </row>
    <row r="15">
      <c r="B15" s="65" t="n">
        <v>1</v>
      </c>
      <c r="C15" s="65">
        <f>Kostenarten!C6</f>
        <v/>
      </c>
      <c r="D15" s="66">
        <f>Kostenarten!P6</f>
        <v/>
      </c>
      <c r="E15" s="67">
        <f>Kostenarten!I6</f>
        <v/>
      </c>
      <c r="F15" s="68">
        <f>Kostenarten!L6</f>
        <v/>
      </c>
      <c r="G15" s="66">
        <f>IF(Objekt!$C$9="Ja",D15*Objekt!$C$10,0)</f>
        <v/>
      </c>
      <c r="H15" s="66">
        <f>D15+G15</f>
        <v/>
      </c>
      <c r="I15" s="64" t="n"/>
    </row>
    <row r="16">
      <c r="B16" s="65" t="n">
        <v>2</v>
      </c>
      <c r="C16" s="65">
        <f>Kostenarten!C7</f>
        <v/>
      </c>
      <c r="D16" s="66">
        <f>Kostenarten!P7</f>
        <v/>
      </c>
      <c r="E16" s="67">
        <f>Kostenarten!I7</f>
        <v/>
      </c>
      <c r="F16" s="68">
        <f>Kostenarten!L7</f>
        <v/>
      </c>
      <c r="G16" s="66">
        <f>IF(Objekt!$C$9="Ja",D16*Objekt!$C$10,0)</f>
        <v/>
      </c>
      <c r="H16" s="66">
        <f>D16+G16</f>
        <v/>
      </c>
      <c r="I16" s="64" t="n"/>
    </row>
    <row r="17">
      <c r="B17" s="65" t="n">
        <v>3</v>
      </c>
      <c r="C17" s="65">
        <f>Kostenarten!C8</f>
        <v/>
      </c>
      <c r="D17" s="66">
        <f>Kostenarten!P8</f>
        <v/>
      </c>
      <c r="E17" s="67">
        <f>Kostenarten!I8</f>
        <v/>
      </c>
      <c r="F17" s="68">
        <f>Kostenarten!L8</f>
        <v/>
      </c>
      <c r="G17" s="66">
        <f>IF(Objekt!$C$9="Ja",D17*Objekt!$C$10,0)</f>
        <v/>
      </c>
      <c r="H17" s="66">
        <f>D17+G17</f>
        <v/>
      </c>
      <c r="I17" s="64" t="n"/>
    </row>
    <row r="18">
      <c r="B18" s="65" t="n">
        <v>4</v>
      </c>
      <c r="C18" s="65">
        <f>Kostenarten!C9</f>
        <v/>
      </c>
      <c r="D18" s="66">
        <f>Kostenarten!P9</f>
        <v/>
      </c>
      <c r="E18" s="67">
        <f>Kostenarten!I9</f>
        <v/>
      </c>
      <c r="F18" s="68">
        <f>Kostenarten!L9</f>
        <v/>
      </c>
      <c r="G18" s="66">
        <f>IF(Objekt!$C$9="Ja",D18*Objekt!$C$10,0)</f>
        <v/>
      </c>
      <c r="H18" s="66">
        <f>D18+G18</f>
        <v/>
      </c>
      <c r="I18" s="64" t="n"/>
    </row>
    <row r="19">
      <c r="B19" s="65" t="n">
        <v>5</v>
      </c>
      <c r="C19" s="65">
        <f>Kostenarten!C10</f>
        <v/>
      </c>
      <c r="D19" s="66">
        <f>Kostenarten!P10</f>
        <v/>
      </c>
      <c r="E19" s="67">
        <f>Kostenarten!I10</f>
        <v/>
      </c>
      <c r="F19" s="68">
        <f>Kostenarten!L10</f>
        <v/>
      </c>
      <c r="G19" s="66">
        <f>IF(Objekt!$C$9="Ja",D19*Objekt!$C$10,0)</f>
        <v/>
      </c>
      <c r="H19" s="66">
        <f>D19+G19</f>
        <v/>
      </c>
      <c r="I19" s="64" t="n"/>
    </row>
    <row r="20">
      <c r="B20" s="65" t="n">
        <v>6</v>
      </c>
      <c r="C20" s="65">
        <f>Kostenarten!C11</f>
        <v/>
      </c>
      <c r="D20" s="66">
        <f>Kostenarten!P11</f>
        <v/>
      </c>
      <c r="E20" s="67">
        <f>Kostenarten!I11</f>
        <v/>
      </c>
      <c r="F20" s="68">
        <f>Kostenarten!L11</f>
        <v/>
      </c>
      <c r="G20" s="66">
        <f>IF(Objekt!$C$9="Ja",D20*Objekt!$C$10,0)</f>
        <v/>
      </c>
      <c r="H20" s="66">
        <f>D20+G20</f>
        <v/>
      </c>
      <c r="I20" s="64" t="n"/>
    </row>
    <row r="21">
      <c r="B21" s="65" t="n">
        <v>7</v>
      </c>
      <c r="C21" s="65">
        <f>Kostenarten!C12</f>
        <v/>
      </c>
      <c r="D21" s="66">
        <f>Kostenarten!P12</f>
        <v/>
      </c>
      <c r="E21" s="67">
        <f>Kostenarten!I12</f>
        <v/>
      </c>
      <c r="F21" s="68">
        <f>Kostenarten!L12</f>
        <v/>
      </c>
      <c r="G21" s="66">
        <f>IF(Objekt!$C$9="Ja",D21*Objekt!$C$10,0)</f>
        <v/>
      </c>
      <c r="H21" s="66">
        <f>D21+G21</f>
        <v/>
      </c>
      <c r="I21" s="64" t="n"/>
    </row>
    <row r="22">
      <c r="B22" s="65" t="n">
        <v>8</v>
      </c>
      <c r="C22" s="65">
        <f>Kostenarten!C13</f>
        <v/>
      </c>
      <c r="D22" s="66">
        <f>Kostenarten!P13</f>
        <v/>
      </c>
      <c r="E22" s="67">
        <f>Kostenarten!I13</f>
        <v/>
      </c>
      <c r="F22" s="68">
        <f>Kostenarten!L13</f>
        <v/>
      </c>
      <c r="G22" s="66">
        <f>IF(Objekt!$C$9="Ja",D22*Objekt!$C$10,0)</f>
        <v/>
      </c>
      <c r="H22" s="66">
        <f>D22+G22</f>
        <v/>
      </c>
      <c r="I22" s="64" t="n"/>
    </row>
    <row r="23">
      <c r="B23" s="65" t="n">
        <v>9</v>
      </c>
      <c r="C23" s="65">
        <f>Kostenarten!C14</f>
        <v/>
      </c>
      <c r="D23" s="66">
        <f>Kostenarten!P14</f>
        <v/>
      </c>
      <c r="E23" s="67">
        <f>Kostenarten!I14</f>
        <v/>
      </c>
      <c r="F23" s="68">
        <f>Kostenarten!L14</f>
        <v/>
      </c>
      <c r="G23" s="66">
        <f>IF(Objekt!$C$9="Ja",D23*Objekt!$C$10,0)</f>
        <v/>
      </c>
      <c r="H23" s="66">
        <f>D23+G23</f>
        <v/>
      </c>
      <c r="I23" s="64" t="n"/>
    </row>
    <row r="24">
      <c r="B24" s="65" t="n">
        <v>10</v>
      </c>
      <c r="C24" s="65">
        <f>Kostenarten!C15</f>
        <v/>
      </c>
      <c r="D24" s="66">
        <f>Kostenarten!P15</f>
        <v/>
      </c>
      <c r="E24" s="67">
        <f>Kostenarten!I15</f>
        <v/>
      </c>
      <c r="F24" s="68">
        <f>Kostenarten!L15</f>
        <v/>
      </c>
      <c r="G24" s="66">
        <f>IF(Objekt!$C$9="Ja",D24*Objekt!$C$10,0)</f>
        <v/>
      </c>
      <c r="H24" s="66">
        <f>D24+G24</f>
        <v/>
      </c>
      <c r="I24" s="64" t="n"/>
    </row>
    <row r="25">
      <c r="B25" s="65" t="n">
        <v>11</v>
      </c>
      <c r="C25" s="65">
        <f>Kostenarten!C16</f>
        <v/>
      </c>
      <c r="D25" s="66">
        <f>Kostenarten!P16</f>
        <v/>
      </c>
      <c r="E25" s="67">
        <f>Kostenarten!I16</f>
        <v/>
      </c>
      <c r="F25" s="68">
        <f>Kostenarten!L16</f>
        <v/>
      </c>
      <c r="G25" s="66">
        <f>IF(Objekt!$C$9="Ja",D25*Objekt!$C$10,0)</f>
        <v/>
      </c>
      <c r="H25" s="66">
        <f>D25+G25</f>
        <v/>
      </c>
      <c r="I25" s="64" t="n"/>
    </row>
    <row r="26">
      <c r="B26" s="65" t="n">
        <v>12</v>
      </c>
      <c r="C26" s="65">
        <f>Kostenarten!C17</f>
        <v/>
      </c>
      <c r="D26" s="66">
        <f>Kostenarten!P17</f>
        <v/>
      </c>
      <c r="E26" s="67">
        <f>Kostenarten!I17</f>
        <v/>
      </c>
      <c r="F26" s="68">
        <f>Kostenarten!L17</f>
        <v/>
      </c>
      <c r="G26" s="66">
        <f>IF(Objekt!$C$9="Ja",D26*Objekt!$C$10,0)</f>
        <v/>
      </c>
      <c r="H26" s="66">
        <f>D26+G26</f>
        <v/>
      </c>
      <c r="I26" s="64" t="n"/>
    </row>
    <row r="27">
      <c r="B27" s="65" t="n">
        <v>13</v>
      </c>
      <c r="C27" s="65">
        <f>Kostenarten!C18</f>
        <v/>
      </c>
      <c r="D27" s="66">
        <f>Kostenarten!P18</f>
        <v/>
      </c>
      <c r="E27" s="67">
        <f>Kostenarten!I18</f>
        <v/>
      </c>
      <c r="F27" s="68">
        <f>Kostenarten!L18</f>
        <v/>
      </c>
      <c r="G27" s="66">
        <f>IF(Objekt!$C$9="Ja",D27*Objekt!$C$10,0)</f>
        <v/>
      </c>
      <c r="H27" s="66">
        <f>D27+G27</f>
        <v/>
      </c>
      <c r="I27" s="64" t="n"/>
    </row>
    <row r="28">
      <c r="B28" s="65" t="n">
        <v>14</v>
      </c>
      <c r="C28" s="65">
        <f>Kostenarten!C19</f>
        <v/>
      </c>
      <c r="D28" s="66">
        <f>Kostenarten!P19</f>
        <v/>
      </c>
      <c r="E28" s="67">
        <f>Kostenarten!I19</f>
        <v/>
      </c>
      <c r="F28" s="68">
        <f>Kostenarten!L19</f>
        <v/>
      </c>
      <c r="G28" s="66">
        <f>IF(Objekt!$C$9="Ja",D28*Objekt!$C$10,0)</f>
        <v/>
      </c>
      <c r="H28" s="66">
        <f>D28+G28</f>
        <v/>
      </c>
      <c r="I28" s="64" t="n"/>
    </row>
    <row r="29">
      <c r="B29" s="65" t="n">
        <v>15</v>
      </c>
      <c r="C29" s="65">
        <f>Kostenarten!C20</f>
        <v/>
      </c>
      <c r="D29" s="66">
        <f>Kostenarten!P20</f>
        <v/>
      </c>
      <c r="E29" s="67">
        <f>Kostenarten!I20</f>
        <v/>
      </c>
      <c r="F29" s="68">
        <f>Kostenarten!L20</f>
        <v/>
      </c>
      <c r="G29" s="66">
        <f>IF(Objekt!$C$9="Ja",D29*Objekt!$C$10,0)</f>
        <v/>
      </c>
      <c r="H29" s="66">
        <f>D29+G29</f>
        <v/>
      </c>
      <c r="I29" s="64" t="n"/>
    </row>
    <row r="30">
      <c r="B30" s="65" t="n">
        <v>16</v>
      </c>
      <c r="C30" s="65">
        <f>Kostenarten!C21</f>
        <v/>
      </c>
      <c r="D30" s="66">
        <f>Kostenarten!P21</f>
        <v/>
      </c>
      <c r="E30" s="67">
        <f>Kostenarten!I21</f>
        <v/>
      </c>
      <c r="F30" s="68">
        <f>Kostenarten!L21</f>
        <v/>
      </c>
      <c r="G30" s="66">
        <f>IF(Objekt!$C$9="Ja",D30*Objekt!$C$10,0)</f>
        <v/>
      </c>
      <c r="H30" s="66">
        <f>D30+G30</f>
        <v/>
      </c>
      <c r="I30" s="64" t="n"/>
    </row>
    <row r="31">
      <c r="B31" s="65" t="n">
        <v>17</v>
      </c>
      <c r="C31" s="65">
        <f>Kostenarten!C22</f>
        <v/>
      </c>
      <c r="D31" s="66">
        <f>Kostenarten!P22</f>
        <v/>
      </c>
      <c r="E31" s="67">
        <f>Kostenarten!I22</f>
        <v/>
      </c>
      <c r="F31" s="68">
        <f>Kostenarten!L22</f>
        <v/>
      </c>
      <c r="G31" s="66">
        <f>IF(Objekt!$C$9="Ja",D31*Objekt!$C$10,0)</f>
        <v/>
      </c>
      <c r="H31" s="66">
        <f>D31+G31</f>
        <v/>
      </c>
      <c r="I31" s="64" t="n"/>
    </row>
    <row r="32">
      <c r="B32" s="65" t="n">
        <v>18</v>
      </c>
      <c r="C32" s="65">
        <f>Kostenarten!C23</f>
        <v/>
      </c>
      <c r="D32" s="66">
        <f>Kostenarten!P23</f>
        <v/>
      </c>
      <c r="E32" s="67">
        <f>Kostenarten!I23</f>
        <v/>
      </c>
      <c r="F32" s="68">
        <f>Kostenarten!L23</f>
        <v/>
      </c>
      <c r="G32" s="66">
        <f>IF(Objekt!$C$9="Ja",D32*Objekt!$C$10,0)</f>
        <v/>
      </c>
      <c r="H32" s="66">
        <f>D32+G32</f>
        <v/>
      </c>
      <c r="I32" s="64" t="n"/>
    </row>
    <row r="33">
      <c r="B33" s="65" t="n">
        <v>19</v>
      </c>
      <c r="C33" s="65">
        <f>Kostenarten!C24</f>
        <v/>
      </c>
      <c r="D33" s="66">
        <f>Kostenarten!P24</f>
        <v/>
      </c>
      <c r="E33" s="67">
        <f>Kostenarten!I24</f>
        <v/>
      </c>
      <c r="F33" s="68">
        <f>Kostenarten!L24</f>
        <v/>
      </c>
      <c r="G33" s="66">
        <f>IF(Objekt!$C$9="Ja",D33*Objekt!$C$10,0)</f>
        <v/>
      </c>
      <c r="H33" s="66">
        <f>D33+G33</f>
        <v/>
      </c>
      <c r="I33" s="64" t="n"/>
    </row>
    <row r="34">
      <c r="B34" s="65" t="n">
        <v>20</v>
      </c>
      <c r="C34" s="65">
        <f>Kostenarten!C25</f>
        <v/>
      </c>
      <c r="D34" s="66">
        <f>Kostenarten!P25</f>
        <v/>
      </c>
      <c r="E34" s="67">
        <f>Kostenarten!I25</f>
        <v/>
      </c>
      <c r="F34" s="68">
        <f>Kostenarten!L25</f>
        <v/>
      </c>
      <c r="G34" s="66">
        <f>IF(Objekt!$C$9="Ja",D34*Objekt!$C$10,0)</f>
        <v/>
      </c>
      <c r="H34" s="66">
        <f>D34+G34</f>
        <v/>
      </c>
      <c r="I34" s="64" t="n"/>
    </row>
    <row r="35">
      <c r="B35" s="65" t="n">
        <v>21</v>
      </c>
      <c r="C35" s="65">
        <f>Kostenarten!C26</f>
        <v/>
      </c>
      <c r="D35" s="66">
        <f>Kostenarten!P26</f>
        <v/>
      </c>
      <c r="E35" s="67">
        <f>Kostenarten!I26</f>
        <v/>
      </c>
      <c r="F35" s="68">
        <f>Kostenarten!L26</f>
        <v/>
      </c>
      <c r="G35" s="66">
        <f>IF(Objekt!$C$9="Ja",D35*Objekt!$C$10,0)</f>
        <v/>
      </c>
      <c r="H35" s="66">
        <f>D35+G35</f>
        <v/>
      </c>
      <c r="I35" s="64" t="n"/>
    </row>
    <row r="36">
      <c r="B36" s="65" t="n">
        <v>22</v>
      </c>
      <c r="C36" s="65">
        <f>Kostenarten!C27</f>
        <v/>
      </c>
      <c r="D36" s="66">
        <f>Kostenarten!P27</f>
        <v/>
      </c>
      <c r="E36" s="67">
        <f>Kostenarten!I27</f>
        <v/>
      </c>
      <c r="F36" s="68">
        <f>Kostenarten!L27</f>
        <v/>
      </c>
      <c r="G36" s="66">
        <f>IF(Objekt!$C$9="Ja",D36*Objekt!$C$10,0)</f>
        <v/>
      </c>
      <c r="H36" s="66">
        <f>D36+G36</f>
        <v/>
      </c>
      <c r="I36" s="64" t="n"/>
    </row>
    <row r="37">
      <c r="B37" s="65" t="n">
        <v>23</v>
      </c>
      <c r="C37" s="65">
        <f>Kostenarten!C28</f>
        <v/>
      </c>
      <c r="D37" s="66">
        <f>Kostenarten!P28</f>
        <v/>
      </c>
      <c r="E37" s="67">
        <f>Kostenarten!I28</f>
        <v/>
      </c>
      <c r="F37" s="68">
        <f>Kostenarten!L28</f>
        <v/>
      </c>
      <c r="G37" s="66">
        <f>IF(Objekt!$C$9="Ja",D37*Objekt!$C$10,0)</f>
        <v/>
      </c>
      <c r="H37" s="66">
        <f>D37+G37</f>
        <v/>
      </c>
      <c r="I37" s="64" t="n"/>
    </row>
    <row r="38">
      <c r="B38" s="65" t="n">
        <v>24</v>
      </c>
      <c r="C38" s="65">
        <f>Kostenarten!C29</f>
        <v/>
      </c>
      <c r="D38" s="66">
        <f>Kostenarten!P29</f>
        <v/>
      </c>
      <c r="E38" s="67">
        <f>Kostenarten!I29</f>
        <v/>
      </c>
      <c r="F38" s="68">
        <f>Kostenarten!L29</f>
        <v/>
      </c>
      <c r="G38" s="66">
        <f>IF(Objekt!$C$9="Ja",D38*Objekt!$C$10,0)</f>
        <v/>
      </c>
      <c r="H38" s="66">
        <f>D38+G38</f>
        <v/>
      </c>
      <c r="I38" s="64" t="n"/>
    </row>
    <row r="39">
      <c r="B39" s="65" t="n">
        <v>25</v>
      </c>
      <c r="C39" s="65">
        <f>Kostenarten!C30</f>
        <v/>
      </c>
      <c r="D39" s="66">
        <f>Kostenarten!P30</f>
        <v/>
      </c>
      <c r="E39" s="67">
        <f>Kostenarten!I30</f>
        <v/>
      </c>
      <c r="F39" s="68">
        <f>Kostenarten!L30</f>
        <v/>
      </c>
      <c r="G39" s="66">
        <f>IF(Objekt!$C$9="Ja",D39*Objekt!$C$10,0)</f>
        <v/>
      </c>
      <c r="H39" s="66">
        <f>D39+G39</f>
        <v/>
      </c>
      <c r="I39" s="64" t="n"/>
    </row>
    <row r="40">
      <c r="B40" s="65" t="n">
        <v>26</v>
      </c>
      <c r="C40" s="65">
        <f>Kostenarten!C31</f>
        <v/>
      </c>
      <c r="D40" s="66">
        <f>Kostenarten!P31</f>
        <v/>
      </c>
      <c r="E40" s="67">
        <f>Kostenarten!I31</f>
        <v/>
      </c>
      <c r="F40" s="68">
        <f>Kostenarten!L31</f>
        <v/>
      </c>
      <c r="G40" s="66">
        <f>IF(Objekt!$C$9="Ja",D40*Objekt!$C$10,0)</f>
        <v/>
      </c>
      <c r="H40" s="66">
        <f>D40+G40</f>
        <v/>
      </c>
      <c r="I40" s="64" t="n"/>
    </row>
    <row r="41">
      <c r="B41" s="65" t="n">
        <v>27</v>
      </c>
      <c r="C41" s="69">
        <f>Kostenarten!C32</f>
        <v/>
      </c>
      <c r="D41" s="66">
        <f>Kostenarten!P32</f>
        <v/>
      </c>
      <c r="E41" s="67">
        <f>Kostenarten!I32</f>
        <v/>
      </c>
      <c r="F41" s="68">
        <f>Kostenarten!L32</f>
        <v/>
      </c>
      <c r="G41" s="66">
        <f>IF(Objekt!$C$9="Ja",D41*Objekt!$C$10,0)</f>
        <v/>
      </c>
      <c r="H41" s="66">
        <f>D41+G41</f>
        <v/>
      </c>
      <c r="I41" s="64" t="n"/>
    </row>
    <row r="42">
      <c r="B42" s="65" t="n">
        <v>28</v>
      </c>
      <c r="C42" s="69">
        <f>Kostenarten!C33</f>
        <v/>
      </c>
      <c r="D42" s="66">
        <f>Kostenarten!P33</f>
        <v/>
      </c>
      <c r="E42" s="67">
        <f>Kostenarten!I33</f>
        <v/>
      </c>
      <c r="F42" s="68">
        <f>Kostenarten!L33</f>
        <v/>
      </c>
      <c r="G42" s="66">
        <f>IF(Objekt!$C$9="Ja",D42*Objekt!$C$10,0)</f>
        <v/>
      </c>
      <c r="H42" s="66">
        <f>D42+G42</f>
        <v/>
      </c>
      <c r="I42" s="64" t="n"/>
    </row>
    <row r="43">
      <c r="B43" s="65" t="n">
        <v>29</v>
      </c>
      <c r="C43" s="69">
        <f>Kostenarten!C34</f>
        <v/>
      </c>
      <c r="D43" s="66">
        <f>Kostenarten!P34</f>
        <v/>
      </c>
      <c r="E43" s="67">
        <f>Kostenarten!I34</f>
        <v/>
      </c>
      <c r="F43" s="68">
        <f>Kostenarten!L34</f>
        <v/>
      </c>
      <c r="G43" s="66">
        <f>IF(Objekt!$C$9="Ja",D43*Objekt!$C$10,0)</f>
        <v/>
      </c>
      <c r="H43" s="66">
        <f>D43+G43</f>
        <v/>
      </c>
      <c r="I43" s="64" t="n"/>
    </row>
    <row r="44">
      <c r="B44" s="65" t="n">
        <v>30</v>
      </c>
      <c r="C44" s="69">
        <f>Kostenarten!C35</f>
        <v/>
      </c>
      <c r="D44" s="66">
        <f>Kostenarten!P35</f>
        <v/>
      </c>
      <c r="E44" s="67">
        <f>Kostenarten!I35</f>
        <v/>
      </c>
      <c r="F44" s="68">
        <f>Kostenarten!L35</f>
        <v/>
      </c>
      <c r="G44" s="66">
        <f>IF(Objekt!$C$9="Ja",D44*Objekt!$C$10,0)</f>
        <v/>
      </c>
      <c r="H44" s="66">
        <f>D44+G44</f>
        <v/>
      </c>
      <c r="I44" s="64" t="n"/>
    </row>
    <row r="45">
      <c r="B45" s="65" t="n">
        <v>31</v>
      </c>
      <c r="C45" s="69">
        <f>Kostenarten!C36</f>
        <v/>
      </c>
      <c r="D45" s="66">
        <f>Kostenarten!P36</f>
        <v/>
      </c>
      <c r="E45" s="67">
        <f>Kostenarten!I36</f>
        <v/>
      </c>
      <c r="F45" s="68">
        <f>Kostenarten!L36</f>
        <v/>
      </c>
      <c r="G45" s="66">
        <f>IF(Objekt!$C$9="Ja",D45*Objekt!$C$10,0)</f>
        <v/>
      </c>
      <c r="H45" s="66">
        <f>D45+G45</f>
        <v/>
      </c>
      <c r="I45" s="64" t="n"/>
    </row>
    <row r="46">
      <c r="B46" s="64" t="n"/>
      <c r="C46" s="83" t="inlineStr">
        <is>
          <t>Zwischensumme</t>
        </is>
      </c>
      <c r="D46" s="57">
        <f>SUM(D15:D45)</f>
        <v/>
      </c>
      <c r="E46" s="64" t="n"/>
      <c r="F46" s="84" t="n"/>
      <c r="G46" s="57">
        <f>SUM(G15:G45)</f>
        <v/>
      </c>
      <c r="H46" s="57">
        <f>SUM(H15:H45)</f>
        <v/>
      </c>
      <c r="I46" s="64" t="n"/>
    </row>
    <row r="47">
      <c r="B47" s="64" t="n"/>
      <c r="C47" s="64" t="n"/>
      <c r="D47" s="85" t="n"/>
      <c r="E47" s="64" t="n"/>
      <c r="F47" s="84" t="n"/>
      <c r="G47" s="85" t="n"/>
      <c r="H47" s="85" t="n"/>
      <c r="I47" s="64" t="n"/>
    </row>
    <row r="48">
      <c r="B48" s="71" t="inlineStr">
        <is>
          <t>Ergebnis</t>
        </is>
      </c>
      <c r="C48" s="64" t="n"/>
      <c r="D48" s="85" t="n"/>
      <c r="E48" s="64" t="n"/>
      <c r="F48" s="84" t="n"/>
      <c r="G48" s="85" t="n"/>
      <c r="H48" s="85" t="n"/>
      <c r="I48" s="64" t="n"/>
    </row>
    <row r="49">
      <c r="B49" s="72" t="inlineStr">
        <is>
          <t>Summe Anteil netto</t>
        </is>
      </c>
      <c r="C49" s="66">
        <f>D46</f>
        <v/>
      </c>
      <c r="D49" s="85" t="n"/>
      <c r="E49" s="64" t="n"/>
      <c r="F49" s="64" t="n"/>
      <c r="G49" s="85" t="n"/>
      <c r="H49" s="85" t="n"/>
      <c r="I49" s="64" t="n"/>
    </row>
    <row r="50">
      <c r="B50" s="72" t="inlineStr">
        <is>
          <t>zzgl. Umsatzsteuer</t>
        </is>
      </c>
      <c r="C50" s="66">
        <f>G46</f>
        <v/>
      </c>
      <c r="D50" s="64" t="n"/>
      <c r="E50" s="64" t="n"/>
      <c r="F50" s="64" t="n"/>
      <c r="G50" s="64" t="n"/>
      <c r="H50" s="64" t="n"/>
      <c r="I50" s="64" t="n"/>
    </row>
    <row r="51">
      <c r="B51" s="72" t="inlineStr">
        <is>
          <t>Summe brutto</t>
        </is>
      </c>
      <c r="C51" s="66">
        <f>H46</f>
        <v/>
      </c>
      <c r="D51" s="64" t="n"/>
      <c r="E51" s="64" t="n"/>
      <c r="F51" s="64" t="n"/>
      <c r="G51" s="64" t="n"/>
      <c r="H51" s="64" t="n"/>
      <c r="I51" s="64" t="n"/>
    </row>
    <row r="52">
      <c r="B52" s="72" t="inlineStr">
        <is>
          <t>abzgl. Vorauszahlungen brutto</t>
        </is>
      </c>
      <c r="C52" s="66">
        <f>Mieter!J8</f>
        <v/>
      </c>
      <c r="D52" s="64" t="n"/>
      <c r="E52" s="64" t="n"/>
      <c r="F52" s="64" t="n"/>
      <c r="G52" s="64" t="n"/>
      <c r="H52" s="64" t="n"/>
      <c r="I52" s="64" t="n"/>
    </row>
    <row r="53">
      <c r="B53" s="73" t="inlineStr">
        <is>
          <t>Nachzahlung / Guthaben (−)</t>
        </is>
      </c>
      <c r="C53" s="57">
        <f>C51-C52</f>
        <v/>
      </c>
      <c r="D53" s="64" t="n"/>
      <c r="E53" s="64" t="n"/>
      <c r="F53" s="64" t="n"/>
      <c r="G53" s="64" t="n"/>
      <c r="H53" s="64" t="n"/>
      <c r="I53" s="64" t="n"/>
    </row>
    <row r="54">
      <c r="B54" s="64" t="n"/>
      <c r="C54" s="85" t="n"/>
      <c r="D54" s="64" t="n"/>
      <c r="E54" s="64" t="n"/>
      <c r="F54" s="64" t="n"/>
      <c r="G54" s="64" t="n"/>
      <c r="H54" s="64" t="n"/>
      <c r="I54" s="64" t="n"/>
    </row>
    <row r="55">
      <c r="B55" s="74" t="inlineStr">
        <is>
          <t>Einzelumlagen mit Zuordnung M1–M4 sind in der Summe enthalten.</t>
        </is>
      </c>
      <c r="C55" s="85" t="n"/>
      <c r="D55" s="64" t="n"/>
      <c r="E55" s="64" t="n"/>
      <c r="F55" s="64" t="n"/>
      <c r="G55" s="64" t="n"/>
      <c r="H55" s="64" t="n"/>
      <c r="I55" s="64" t="n"/>
    </row>
    <row r="56">
      <c r="B56" s="64" t="n"/>
      <c r="C56" s="85" t="n"/>
      <c r="D56" s="64" t="n"/>
      <c r="E56" s="64" t="n"/>
      <c r="F56" s="64" t="n"/>
      <c r="G56" s="64" t="n"/>
      <c r="H56" s="64" t="n"/>
      <c r="I56" s="64" t="n"/>
    </row>
    <row r="57">
      <c r="B57" s="72" t="inlineStr">
        <is>
          <t>Erstellt am</t>
        </is>
      </c>
      <c r="C57" s="75" t="n">
        <v>46241</v>
      </c>
      <c r="D57" s="64" t="n"/>
      <c r="E57" s="64" t="n"/>
      <c r="F57" s="64" t="n"/>
      <c r="G57" s="64" t="n"/>
      <c r="H57" s="64" t="n"/>
      <c r="I57" s="64" t="n"/>
    </row>
    <row r="58">
      <c r="B58" s="72" t="inlineStr">
        <is>
          <t>Erstellt durch</t>
        </is>
      </c>
      <c r="C58" s="76" t="n"/>
      <c r="D58" s="64" t="n"/>
      <c r="E58" s="64" t="n"/>
      <c r="F58" s="64" t="n"/>
      <c r="G58" s="64" t="n"/>
      <c r="H58" s="64" t="n"/>
      <c r="I58" s="64" t="n"/>
    </row>
    <row r="59">
      <c r="B59" s="64" t="n"/>
      <c r="C59" s="64" t="n"/>
      <c r="D59" s="64" t="n"/>
      <c r="E59" s="64" t="n"/>
      <c r="F59" s="64" t="n"/>
      <c r="G59" s="64" t="n"/>
      <c r="H59" s="64" t="n"/>
      <c r="I59" s="64" t="n"/>
    </row>
    <row r="60">
      <c r="B60" s="64" t="n"/>
      <c r="C60" s="86" t="n"/>
      <c r="D60" s="64" t="n"/>
      <c r="E60" s="64" t="n"/>
      <c r="F60" s="64" t="n"/>
      <c r="G60" s="64" t="n"/>
      <c r="H60" s="64" t="n"/>
      <c r="I60" s="64" t="n"/>
    </row>
    <row r="61">
      <c r="B61" s="64" t="n"/>
      <c r="C61" s="64" t="n"/>
      <c r="D61" s="64" t="n"/>
      <c r="E61" s="64" t="n"/>
      <c r="F61" s="64" t="n"/>
      <c r="G61" s="64" t="n"/>
      <c r="H61" s="64" t="n"/>
      <c r="I61" s="64" t="n"/>
    </row>
    <row r="62">
      <c r="B62" s="64" t="n"/>
      <c r="C62" s="64" t="n"/>
      <c r="D62" s="64" t="n"/>
      <c r="E62" s="64" t="n"/>
      <c r="F62" s="64" t="n"/>
      <c r="G62" s="64" t="n"/>
      <c r="H62" s="64" t="n"/>
      <c r="I62" s="64" t="n"/>
    </row>
    <row r="63">
      <c r="B63" s="64" t="n"/>
      <c r="C63" s="64" t="n"/>
      <c r="D63" s="64" t="n"/>
      <c r="E63" s="64" t="n"/>
      <c r="F63" s="64" t="n"/>
      <c r="G63" s="64" t="n"/>
      <c r="H63" s="64" t="n"/>
      <c r="I63" s="64" t="n"/>
    </row>
    <row r="64">
      <c r="B64" s="64" t="n"/>
      <c r="C64" s="64" t="n"/>
      <c r="D64" s="64" t="n"/>
      <c r="E64" s="64" t="n"/>
      <c r="F64" s="64" t="n"/>
      <c r="G64" s="64" t="n"/>
      <c r="H64" s="64" t="n"/>
      <c r="I64" s="64" t="n"/>
    </row>
    <row r="65">
      <c r="B65" s="64" t="n"/>
      <c r="C65" s="64" t="n"/>
      <c r="D65" s="64" t="n"/>
      <c r="E65" s="64" t="n"/>
      <c r="F65" s="64" t="n"/>
      <c r="G65" s="64" t="n"/>
      <c r="H65" s="64" t="n"/>
      <c r="I65" s="64" t="n"/>
    </row>
    <row r="66">
      <c r="B66" s="64" t="n"/>
      <c r="C66" s="64" t="n"/>
      <c r="D66" s="64" t="n"/>
      <c r="E66" s="64" t="n"/>
      <c r="F66" s="64" t="n"/>
      <c r="G66" s="64" t="n"/>
      <c r="H66" s="64" t="n"/>
      <c r="I66" s="64" t="n"/>
    </row>
    <row r="67">
      <c r="B67" s="64" t="n"/>
      <c r="C67" s="64" t="n"/>
      <c r="D67" s="64" t="n"/>
      <c r="E67" s="64" t="n"/>
      <c r="F67" s="64" t="n"/>
      <c r="G67" s="64" t="n"/>
      <c r="H67" s="64" t="n"/>
      <c r="I67" s="64" t="n"/>
    </row>
    <row r="68">
      <c r="B68" s="64" t="n"/>
      <c r="C68" s="64" t="n"/>
      <c r="D68" s="64" t="n"/>
      <c r="E68" s="64" t="n"/>
      <c r="F68" s="64" t="n"/>
      <c r="G68" s="64" t="n"/>
      <c r="H68" s="64" t="n"/>
      <c r="I68" s="64" t="n"/>
    </row>
    <row r="69">
      <c r="B69" s="64" t="n"/>
      <c r="C69" s="64" t="n"/>
      <c r="D69" s="64" t="n"/>
      <c r="E69" s="64" t="n"/>
      <c r="F69" s="64" t="n"/>
      <c r="G69" s="64" t="n"/>
      <c r="H69" s="64" t="n"/>
      <c r="I69" s="64" t="n"/>
    </row>
    <row r="70">
      <c r="B70" s="64" t="n"/>
      <c r="C70" s="64" t="n"/>
      <c r="D70" s="64" t="n"/>
      <c r="E70" s="64" t="n"/>
      <c r="F70" s="64" t="n"/>
      <c r="G70" s="64" t="n"/>
      <c r="H70" s="64" t="n"/>
      <c r="I70" s="64" t="n"/>
    </row>
    <row r="71">
      <c r="B71" s="64" t="n"/>
      <c r="C71" s="64" t="n"/>
      <c r="D71" s="64" t="n"/>
      <c r="E71" s="64" t="n"/>
      <c r="F71" s="64" t="n"/>
      <c r="G71" s="64" t="n"/>
      <c r="H71" s="64" t="n"/>
      <c r="I71" s="64" t="n"/>
    </row>
    <row r="72">
      <c r="B72" s="64" t="n"/>
      <c r="C72" s="64" t="n"/>
      <c r="D72" s="64" t="n"/>
      <c r="E72" s="64" t="n"/>
      <c r="F72" s="64" t="n"/>
      <c r="G72" s="64" t="n"/>
      <c r="H72" s="64" t="n"/>
      <c r="I72" s="64" t="n"/>
    </row>
    <row r="73">
      <c r="B73" s="64" t="n"/>
      <c r="C73" s="64" t="n"/>
      <c r="D73" s="64" t="n"/>
      <c r="E73" s="64" t="n"/>
      <c r="F73" s="64" t="n"/>
      <c r="G73" s="64" t="n"/>
      <c r="H73" s="64" t="n"/>
      <c r="I73" s="64" t="n"/>
    </row>
    <row r="74">
      <c r="B74" s="64" t="n"/>
      <c r="C74" s="64" t="n"/>
      <c r="D74" s="64" t="n"/>
      <c r="E74" s="64" t="n"/>
      <c r="F74" s="64" t="n"/>
      <c r="G74" s="64" t="n"/>
      <c r="H74" s="64" t="n"/>
      <c r="I74" s="64" t="n"/>
    </row>
    <row r="75">
      <c r="B75" s="64" t="n"/>
      <c r="C75" s="64" t="n"/>
      <c r="D75" s="64" t="n"/>
      <c r="E75" s="64" t="n"/>
      <c r="F75" s="64" t="n"/>
      <c r="G75" s="64" t="n"/>
      <c r="H75" s="64" t="n"/>
      <c r="I75" s="64" t="n"/>
    </row>
    <row r="76">
      <c r="B76" s="64" t="n"/>
      <c r="C76" s="64" t="n"/>
      <c r="D76" s="64" t="n"/>
      <c r="E76" s="64" t="n"/>
      <c r="F76" s="64" t="n"/>
      <c r="G76" s="64" t="n"/>
      <c r="H76" s="64" t="n"/>
      <c r="I76" s="64" t="n"/>
    </row>
    <row r="77">
      <c r="B77" s="64" t="n"/>
      <c r="C77" s="64" t="n"/>
      <c r="D77" s="64" t="n"/>
      <c r="E77" s="64" t="n"/>
      <c r="F77" s="64" t="n"/>
      <c r="G77" s="64" t="n"/>
      <c r="H77" s="64" t="n"/>
      <c r="I77" s="64" t="n"/>
    </row>
    <row r="78">
      <c r="B78" s="64" t="n"/>
      <c r="C78" s="64" t="n"/>
      <c r="D78" s="64" t="n"/>
      <c r="E78" s="64" t="n"/>
      <c r="F78" s="64" t="n"/>
      <c r="G78" s="64" t="n"/>
      <c r="H78" s="64" t="n"/>
      <c r="I78" s="64" t="n"/>
    </row>
    <row r="79">
      <c r="B79" s="64" t="n"/>
      <c r="C79" s="64" t="n"/>
      <c r="D79" s="64" t="n"/>
      <c r="E79" s="64" t="n"/>
      <c r="F79" s="64" t="n"/>
      <c r="G79" s="64" t="n"/>
      <c r="H79" s="64" t="n"/>
      <c r="I79" s="64" t="n"/>
    </row>
    <row r="80">
      <c r="B80" s="64" t="n"/>
      <c r="C80" s="64" t="n"/>
      <c r="D80" s="64" t="n"/>
      <c r="E80" s="64" t="n"/>
      <c r="F80" s="64" t="n"/>
      <c r="G80" s="64" t="n"/>
      <c r="H80" s="64" t="n"/>
      <c r="I80" s="64" t="n"/>
    </row>
    <row r="81">
      <c r="B81" s="64" t="n"/>
      <c r="C81" s="64" t="n"/>
      <c r="D81" s="64" t="n"/>
      <c r="E81" s="64" t="n"/>
      <c r="F81" s="64" t="n"/>
      <c r="G81" s="64" t="n"/>
      <c r="H81" s="64" t="n"/>
      <c r="I81" s="64" t="n"/>
    </row>
    <row r="82">
      <c r="B82" s="64" t="n"/>
      <c r="C82" s="64" t="n"/>
      <c r="D82" s="64" t="n"/>
      <c r="E82" s="64" t="n"/>
      <c r="F82" s="64" t="n"/>
      <c r="G82" s="64" t="n"/>
      <c r="H82" s="64" t="n"/>
      <c r="I82" s="64" t="n"/>
    </row>
    <row r="83">
      <c r="B83" s="64" t="n"/>
      <c r="C83" s="64" t="n"/>
      <c r="D83" s="64" t="n"/>
      <c r="E83" s="64" t="n"/>
      <c r="F83" s="64" t="n"/>
      <c r="G83" s="64" t="n"/>
      <c r="H83" s="64" t="n"/>
      <c r="I83" s="64" t="n"/>
    </row>
    <row r="84">
      <c r="B84" s="64" t="n"/>
      <c r="C84" s="64" t="n"/>
      <c r="D84" s="64" t="n"/>
      <c r="E84" s="64" t="n"/>
      <c r="F84" s="64" t="n"/>
      <c r="G84" s="64" t="n"/>
      <c r="H84" s="64" t="n"/>
      <c r="I84" s="64" t="n"/>
    </row>
    <row r="85">
      <c r="B85" s="64" t="n"/>
      <c r="C85" s="64" t="n"/>
      <c r="D85" s="64" t="n"/>
      <c r="E85" s="64" t="n"/>
      <c r="F85" s="64" t="n"/>
      <c r="G85" s="64" t="n"/>
      <c r="H85" s="64" t="n"/>
      <c r="I85" s="64" t="n"/>
    </row>
    <row r="86">
      <c r="B86" s="64" t="n"/>
      <c r="C86" s="64" t="n"/>
      <c r="D86" s="64" t="n"/>
      <c r="E86" s="64" t="n"/>
      <c r="F86" s="64" t="n"/>
      <c r="G86" s="64" t="n"/>
      <c r="H86" s="64" t="n"/>
      <c r="I86" s="64" t="n"/>
    </row>
    <row r="87">
      <c r="B87" s="64" t="n"/>
      <c r="C87" s="64" t="n"/>
      <c r="D87" s="64" t="n"/>
      <c r="E87" s="64" t="n"/>
      <c r="F87" s="64" t="n"/>
      <c r="G87" s="64" t="n"/>
      <c r="H87" s="64" t="n"/>
      <c r="I87" s="64" t="n"/>
    </row>
    <row r="88">
      <c r="B88" s="64" t="n"/>
      <c r="C88" s="64" t="n"/>
      <c r="D88" s="64" t="n"/>
      <c r="E88" s="64" t="n"/>
      <c r="F88" s="64" t="n"/>
      <c r="G88" s="64" t="n"/>
      <c r="H88" s="64" t="n"/>
      <c r="I88" s="64" t="n"/>
    </row>
    <row r="89">
      <c r="B89" s="64" t="n"/>
      <c r="C89" s="64" t="n"/>
      <c r="D89" s="64" t="n"/>
      <c r="E89" s="64" t="n"/>
      <c r="F89" s="64" t="n"/>
      <c r="G89" s="64" t="n"/>
      <c r="H89" s="64" t="n"/>
      <c r="I89" s="64" t="n"/>
    </row>
  </sheetData>
  <mergeCells count="3">
    <mergeCell ref="C7:E7"/>
    <mergeCell ref="C6:E6"/>
    <mergeCell ref="C5:E5"/>
  </mergeCells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B2:I89"/>
  <sheetViews>
    <sheetView showGridLines="0" workbookViewId="0">
      <pane xSplit="1" ySplit="14" topLeftCell="B1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" customWidth="1" min="1" max="1"/>
    <col width="6" customWidth="1" min="2" max="2"/>
    <col width="34" customWidth="1" min="3" max="3"/>
    <col width="16" customWidth="1" min="4" max="4"/>
    <col width="12" customWidth="1" min="5" max="5"/>
    <col width="12" customWidth="1" min="6" max="6"/>
    <col width="16" customWidth="1" min="7" max="7"/>
    <col width="12" customWidth="1" min="8" max="8"/>
    <col width="14" customWidth="1" min="9" max="9"/>
  </cols>
  <sheetData>
    <row r="2">
      <c r="B2" s="51" t="inlineStr">
        <is>
          <t>Nebenkostenabrechnung Gewerbe – Mieter 4</t>
        </is>
      </c>
    </row>
    <row r="3">
      <c r="B3" s="2" t="inlineStr">
        <is>
          <t>Automatisch aus Objekt + Mieter + Kostenarten. Vor Versand prüfen.</t>
        </is>
      </c>
    </row>
    <row r="5">
      <c r="B5" s="27" t="inlineStr">
        <is>
          <t>Objekt</t>
        </is>
      </c>
      <c r="C5" s="31">
        <f>Objekt!C5</f>
        <v/>
      </c>
      <c r="D5" s="25" t="n"/>
      <c r="E5" s="26" t="n"/>
    </row>
    <row r="6">
      <c r="B6" s="27" t="inlineStr">
        <is>
          <t>Mieter</t>
        </is>
      </c>
      <c r="C6" s="31">
        <f>Mieter!C9</f>
        <v/>
      </c>
      <c r="D6" s="25" t="n"/>
      <c r="E6" s="26" t="n"/>
    </row>
    <row r="7">
      <c r="B7" s="27" t="inlineStr">
        <is>
          <t>Einheit</t>
        </is>
      </c>
      <c r="C7" s="31">
        <f>Mieter!D9</f>
        <v/>
      </c>
      <c r="D7" s="25" t="n"/>
      <c r="E7" s="26" t="n"/>
    </row>
    <row r="8">
      <c r="B8" s="27" t="inlineStr">
        <is>
          <t>Zeitraum von</t>
        </is>
      </c>
      <c r="C8" s="47">
        <f>Objekt!C7</f>
        <v/>
      </c>
    </row>
    <row r="9">
      <c r="B9" s="27" t="inlineStr">
        <is>
          <t>Zeitraum bis</t>
        </is>
      </c>
      <c r="C9" s="47">
        <f>Objekt!C8</f>
        <v/>
      </c>
    </row>
    <row r="10">
      <c r="B10" s="27" t="inlineStr">
        <is>
          <t>Fläche m²</t>
        </is>
      </c>
      <c r="C10" s="32">
        <f>Mieter!E9</f>
        <v/>
      </c>
    </row>
    <row r="11">
      <c r="B11" s="27" t="inlineStr">
        <is>
          <t>Flächenanteil</t>
        </is>
      </c>
      <c r="C11" s="35">
        <f>Mieter!F9</f>
        <v/>
      </c>
    </row>
    <row r="12">
      <c r="B12" s="27" t="inlineStr">
        <is>
          <t>USt-Option</t>
        </is>
      </c>
      <c r="C12" s="31">
        <f>Objekt!C9</f>
        <v/>
      </c>
    </row>
    <row r="14">
      <c r="B14" s="11" t="inlineStr">
        <is>
          <t>Nr</t>
        </is>
      </c>
      <c r="C14" s="11" t="inlineStr">
        <is>
          <t>Kostenart</t>
        </is>
      </c>
      <c r="D14" s="11" t="inlineStr">
        <is>
          <t>Anteil Mieter netto €</t>
        </is>
      </c>
      <c r="E14" s="11" t="inlineStr">
        <is>
          <t>Schlüssel</t>
        </is>
      </c>
      <c r="F14" s="11" t="inlineStr">
        <is>
          <t>Anteil %</t>
        </is>
      </c>
      <c r="G14" s="11" t="inlineStr">
        <is>
          <t>USt €</t>
        </is>
      </c>
      <c r="H14" s="11" t="inlineStr">
        <is>
          <t>Brutto €</t>
        </is>
      </c>
      <c r="I14" s="64" t="n"/>
    </row>
    <row r="15">
      <c r="B15" s="65" t="n">
        <v>1</v>
      </c>
      <c r="C15" s="65">
        <f>Kostenarten!C6</f>
        <v/>
      </c>
      <c r="D15" s="66">
        <f>Kostenarten!Q6</f>
        <v/>
      </c>
      <c r="E15" s="67">
        <f>Kostenarten!I6</f>
        <v/>
      </c>
      <c r="F15" s="68">
        <f>Kostenarten!M6</f>
        <v/>
      </c>
      <c r="G15" s="66">
        <f>IF(Objekt!$C$9="Ja",D15*Objekt!$C$10,0)</f>
        <v/>
      </c>
      <c r="H15" s="66">
        <f>D15+G15</f>
        <v/>
      </c>
      <c r="I15" s="64" t="n"/>
    </row>
    <row r="16">
      <c r="B16" s="65" t="n">
        <v>2</v>
      </c>
      <c r="C16" s="65">
        <f>Kostenarten!C7</f>
        <v/>
      </c>
      <c r="D16" s="66">
        <f>Kostenarten!Q7</f>
        <v/>
      </c>
      <c r="E16" s="67">
        <f>Kostenarten!I7</f>
        <v/>
      </c>
      <c r="F16" s="68">
        <f>Kostenarten!M7</f>
        <v/>
      </c>
      <c r="G16" s="66">
        <f>IF(Objekt!$C$9="Ja",D16*Objekt!$C$10,0)</f>
        <v/>
      </c>
      <c r="H16" s="66">
        <f>D16+G16</f>
        <v/>
      </c>
      <c r="I16" s="64" t="n"/>
    </row>
    <row r="17">
      <c r="B17" s="65" t="n">
        <v>3</v>
      </c>
      <c r="C17" s="65">
        <f>Kostenarten!C8</f>
        <v/>
      </c>
      <c r="D17" s="66">
        <f>Kostenarten!Q8</f>
        <v/>
      </c>
      <c r="E17" s="67">
        <f>Kostenarten!I8</f>
        <v/>
      </c>
      <c r="F17" s="68">
        <f>Kostenarten!M8</f>
        <v/>
      </c>
      <c r="G17" s="66">
        <f>IF(Objekt!$C$9="Ja",D17*Objekt!$C$10,0)</f>
        <v/>
      </c>
      <c r="H17" s="66">
        <f>D17+G17</f>
        <v/>
      </c>
      <c r="I17" s="64" t="n"/>
    </row>
    <row r="18">
      <c r="B18" s="65" t="n">
        <v>4</v>
      </c>
      <c r="C18" s="65">
        <f>Kostenarten!C9</f>
        <v/>
      </c>
      <c r="D18" s="66">
        <f>Kostenarten!Q9</f>
        <v/>
      </c>
      <c r="E18" s="67">
        <f>Kostenarten!I9</f>
        <v/>
      </c>
      <c r="F18" s="68">
        <f>Kostenarten!M9</f>
        <v/>
      </c>
      <c r="G18" s="66">
        <f>IF(Objekt!$C$9="Ja",D18*Objekt!$C$10,0)</f>
        <v/>
      </c>
      <c r="H18" s="66">
        <f>D18+G18</f>
        <v/>
      </c>
      <c r="I18" s="64" t="n"/>
    </row>
    <row r="19">
      <c r="B19" s="65" t="n">
        <v>5</v>
      </c>
      <c r="C19" s="65">
        <f>Kostenarten!C10</f>
        <v/>
      </c>
      <c r="D19" s="66">
        <f>Kostenarten!Q10</f>
        <v/>
      </c>
      <c r="E19" s="67">
        <f>Kostenarten!I10</f>
        <v/>
      </c>
      <c r="F19" s="68">
        <f>Kostenarten!M10</f>
        <v/>
      </c>
      <c r="G19" s="66">
        <f>IF(Objekt!$C$9="Ja",D19*Objekt!$C$10,0)</f>
        <v/>
      </c>
      <c r="H19" s="66">
        <f>D19+G19</f>
        <v/>
      </c>
      <c r="I19" s="64" t="n"/>
    </row>
    <row r="20">
      <c r="B20" s="65" t="n">
        <v>6</v>
      </c>
      <c r="C20" s="65">
        <f>Kostenarten!C11</f>
        <v/>
      </c>
      <c r="D20" s="66">
        <f>Kostenarten!Q11</f>
        <v/>
      </c>
      <c r="E20" s="67">
        <f>Kostenarten!I11</f>
        <v/>
      </c>
      <c r="F20" s="68">
        <f>Kostenarten!M11</f>
        <v/>
      </c>
      <c r="G20" s="66">
        <f>IF(Objekt!$C$9="Ja",D20*Objekt!$C$10,0)</f>
        <v/>
      </c>
      <c r="H20" s="66">
        <f>D20+G20</f>
        <v/>
      </c>
      <c r="I20" s="64" t="n"/>
    </row>
    <row r="21">
      <c r="B21" s="65" t="n">
        <v>7</v>
      </c>
      <c r="C21" s="65">
        <f>Kostenarten!C12</f>
        <v/>
      </c>
      <c r="D21" s="66">
        <f>Kostenarten!Q12</f>
        <v/>
      </c>
      <c r="E21" s="67">
        <f>Kostenarten!I12</f>
        <v/>
      </c>
      <c r="F21" s="68">
        <f>Kostenarten!M12</f>
        <v/>
      </c>
      <c r="G21" s="66">
        <f>IF(Objekt!$C$9="Ja",D21*Objekt!$C$10,0)</f>
        <v/>
      </c>
      <c r="H21" s="66">
        <f>D21+G21</f>
        <v/>
      </c>
      <c r="I21" s="64" t="n"/>
    </row>
    <row r="22">
      <c r="B22" s="65" t="n">
        <v>8</v>
      </c>
      <c r="C22" s="65">
        <f>Kostenarten!C13</f>
        <v/>
      </c>
      <c r="D22" s="66">
        <f>Kostenarten!Q13</f>
        <v/>
      </c>
      <c r="E22" s="67">
        <f>Kostenarten!I13</f>
        <v/>
      </c>
      <c r="F22" s="68">
        <f>Kostenarten!M13</f>
        <v/>
      </c>
      <c r="G22" s="66">
        <f>IF(Objekt!$C$9="Ja",D22*Objekt!$C$10,0)</f>
        <v/>
      </c>
      <c r="H22" s="66">
        <f>D22+G22</f>
        <v/>
      </c>
      <c r="I22" s="64" t="n"/>
    </row>
    <row r="23">
      <c r="B23" s="65" t="n">
        <v>9</v>
      </c>
      <c r="C23" s="65">
        <f>Kostenarten!C14</f>
        <v/>
      </c>
      <c r="D23" s="66">
        <f>Kostenarten!Q14</f>
        <v/>
      </c>
      <c r="E23" s="67">
        <f>Kostenarten!I14</f>
        <v/>
      </c>
      <c r="F23" s="68">
        <f>Kostenarten!M14</f>
        <v/>
      </c>
      <c r="G23" s="66">
        <f>IF(Objekt!$C$9="Ja",D23*Objekt!$C$10,0)</f>
        <v/>
      </c>
      <c r="H23" s="66">
        <f>D23+G23</f>
        <v/>
      </c>
      <c r="I23" s="64" t="n"/>
    </row>
    <row r="24">
      <c r="B24" s="65" t="n">
        <v>10</v>
      </c>
      <c r="C24" s="65">
        <f>Kostenarten!C15</f>
        <v/>
      </c>
      <c r="D24" s="66">
        <f>Kostenarten!Q15</f>
        <v/>
      </c>
      <c r="E24" s="67">
        <f>Kostenarten!I15</f>
        <v/>
      </c>
      <c r="F24" s="68">
        <f>Kostenarten!M15</f>
        <v/>
      </c>
      <c r="G24" s="66">
        <f>IF(Objekt!$C$9="Ja",D24*Objekt!$C$10,0)</f>
        <v/>
      </c>
      <c r="H24" s="66">
        <f>D24+G24</f>
        <v/>
      </c>
      <c r="I24" s="64" t="n"/>
    </row>
    <row r="25">
      <c r="B25" s="65" t="n">
        <v>11</v>
      </c>
      <c r="C25" s="65">
        <f>Kostenarten!C16</f>
        <v/>
      </c>
      <c r="D25" s="66">
        <f>Kostenarten!Q16</f>
        <v/>
      </c>
      <c r="E25" s="67">
        <f>Kostenarten!I16</f>
        <v/>
      </c>
      <c r="F25" s="68">
        <f>Kostenarten!M16</f>
        <v/>
      </c>
      <c r="G25" s="66">
        <f>IF(Objekt!$C$9="Ja",D25*Objekt!$C$10,0)</f>
        <v/>
      </c>
      <c r="H25" s="66">
        <f>D25+G25</f>
        <v/>
      </c>
      <c r="I25" s="64" t="n"/>
    </row>
    <row r="26">
      <c r="B26" s="65" t="n">
        <v>12</v>
      </c>
      <c r="C26" s="65">
        <f>Kostenarten!C17</f>
        <v/>
      </c>
      <c r="D26" s="66">
        <f>Kostenarten!Q17</f>
        <v/>
      </c>
      <c r="E26" s="67">
        <f>Kostenarten!I17</f>
        <v/>
      </c>
      <c r="F26" s="68">
        <f>Kostenarten!M17</f>
        <v/>
      </c>
      <c r="G26" s="66">
        <f>IF(Objekt!$C$9="Ja",D26*Objekt!$C$10,0)</f>
        <v/>
      </c>
      <c r="H26" s="66">
        <f>D26+G26</f>
        <v/>
      </c>
      <c r="I26" s="64" t="n"/>
    </row>
    <row r="27">
      <c r="B27" s="65" t="n">
        <v>13</v>
      </c>
      <c r="C27" s="65">
        <f>Kostenarten!C18</f>
        <v/>
      </c>
      <c r="D27" s="66">
        <f>Kostenarten!Q18</f>
        <v/>
      </c>
      <c r="E27" s="67">
        <f>Kostenarten!I18</f>
        <v/>
      </c>
      <c r="F27" s="68">
        <f>Kostenarten!M18</f>
        <v/>
      </c>
      <c r="G27" s="66">
        <f>IF(Objekt!$C$9="Ja",D27*Objekt!$C$10,0)</f>
        <v/>
      </c>
      <c r="H27" s="66">
        <f>D27+G27</f>
        <v/>
      </c>
      <c r="I27" s="64" t="n"/>
    </row>
    <row r="28">
      <c r="B28" s="65" t="n">
        <v>14</v>
      </c>
      <c r="C28" s="65">
        <f>Kostenarten!C19</f>
        <v/>
      </c>
      <c r="D28" s="66">
        <f>Kostenarten!Q19</f>
        <v/>
      </c>
      <c r="E28" s="67">
        <f>Kostenarten!I19</f>
        <v/>
      </c>
      <c r="F28" s="68">
        <f>Kostenarten!M19</f>
        <v/>
      </c>
      <c r="G28" s="66">
        <f>IF(Objekt!$C$9="Ja",D28*Objekt!$C$10,0)</f>
        <v/>
      </c>
      <c r="H28" s="66">
        <f>D28+G28</f>
        <v/>
      </c>
      <c r="I28" s="64" t="n"/>
    </row>
    <row r="29">
      <c r="B29" s="65" t="n">
        <v>15</v>
      </c>
      <c r="C29" s="65">
        <f>Kostenarten!C20</f>
        <v/>
      </c>
      <c r="D29" s="66">
        <f>Kostenarten!Q20</f>
        <v/>
      </c>
      <c r="E29" s="67">
        <f>Kostenarten!I20</f>
        <v/>
      </c>
      <c r="F29" s="68">
        <f>Kostenarten!M20</f>
        <v/>
      </c>
      <c r="G29" s="66">
        <f>IF(Objekt!$C$9="Ja",D29*Objekt!$C$10,0)</f>
        <v/>
      </c>
      <c r="H29" s="66">
        <f>D29+G29</f>
        <v/>
      </c>
      <c r="I29" s="64" t="n"/>
    </row>
    <row r="30">
      <c r="B30" s="65" t="n">
        <v>16</v>
      </c>
      <c r="C30" s="65">
        <f>Kostenarten!C21</f>
        <v/>
      </c>
      <c r="D30" s="66">
        <f>Kostenarten!Q21</f>
        <v/>
      </c>
      <c r="E30" s="67">
        <f>Kostenarten!I21</f>
        <v/>
      </c>
      <c r="F30" s="68">
        <f>Kostenarten!M21</f>
        <v/>
      </c>
      <c r="G30" s="66">
        <f>IF(Objekt!$C$9="Ja",D30*Objekt!$C$10,0)</f>
        <v/>
      </c>
      <c r="H30" s="66">
        <f>D30+G30</f>
        <v/>
      </c>
      <c r="I30" s="64" t="n"/>
    </row>
    <row r="31">
      <c r="B31" s="65" t="n">
        <v>17</v>
      </c>
      <c r="C31" s="65">
        <f>Kostenarten!C22</f>
        <v/>
      </c>
      <c r="D31" s="66">
        <f>Kostenarten!Q22</f>
        <v/>
      </c>
      <c r="E31" s="67">
        <f>Kostenarten!I22</f>
        <v/>
      </c>
      <c r="F31" s="68">
        <f>Kostenarten!M22</f>
        <v/>
      </c>
      <c r="G31" s="66">
        <f>IF(Objekt!$C$9="Ja",D31*Objekt!$C$10,0)</f>
        <v/>
      </c>
      <c r="H31" s="66">
        <f>D31+G31</f>
        <v/>
      </c>
      <c r="I31" s="64" t="n"/>
    </row>
    <row r="32">
      <c r="B32" s="65" t="n">
        <v>18</v>
      </c>
      <c r="C32" s="65">
        <f>Kostenarten!C23</f>
        <v/>
      </c>
      <c r="D32" s="66">
        <f>Kostenarten!Q23</f>
        <v/>
      </c>
      <c r="E32" s="67">
        <f>Kostenarten!I23</f>
        <v/>
      </c>
      <c r="F32" s="68">
        <f>Kostenarten!M23</f>
        <v/>
      </c>
      <c r="G32" s="66">
        <f>IF(Objekt!$C$9="Ja",D32*Objekt!$C$10,0)</f>
        <v/>
      </c>
      <c r="H32" s="66">
        <f>D32+G32</f>
        <v/>
      </c>
      <c r="I32" s="64" t="n"/>
    </row>
    <row r="33">
      <c r="B33" s="65" t="n">
        <v>19</v>
      </c>
      <c r="C33" s="65">
        <f>Kostenarten!C24</f>
        <v/>
      </c>
      <c r="D33" s="66">
        <f>Kostenarten!Q24</f>
        <v/>
      </c>
      <c r="E33" s="67">
        <f>Kostenarten!I24</f>
        <v/>
      </c>
      <c r="F33" s="68">
        <f>Kostenarten!M24</f>
        <v/>
      </c>
      <c r="G33" s="66">
        <f>IF(Objekt!$C$9="Ja",D33*Objekt!$C$10,0)</f>
        <v/>
      </c>
      <c r="H33" s="66">
        <f>D33+G33</f>
        <v/>
      </c>
      <c r="I33" s="64" t="n"/>
    </row>
    <row r="34">
      <c r="B34" s="65" t="n">
        <v>20</v>
      </c>
      <c r="C34" s="65">
        <f>Kostenarten!C25</f>
        <v/>
      </c>
      <c r="D34" s="66">
        <f>Kostenarten!Q25</f>
        <v/>
      </c>
      <c r="E34" s="67">
        <f>Kostenarten!I25</f>
        <v/>
      </c>
      <c r="F34" s="68">
        <f>Kostenarten!M25</f>
        <v/>
      </c>
      <c r="G34" s="66">
        <f>IF(Objekt!$C$9="Ja",D34*Objekt!$C$10,0)</f>
        <v/>
      </c>
      <c r="H34" s="66">
        <f>D34+G34</f>
        <v/>
      </c>
      <c r="I34" s="64" t="n"/>
    </row>
    <row r="35">
      <c r="B35" s="65" t="n">
        <v>21</v>
      </c>
      <c r="C35" s="65">
        <f>Kostenarten!C26</f>
        <v/>
      </c>
      <c r="D35" s="66">
        <f>Kostenarten!Q26</f>
        <v/>
      </c>
      <c r="E35" s="67">
        <f>Kostenarten!I26</f>
        <v/>
      </c>
      <c r="F35" s="68">
        <f>Kostenarten!M26</f>
        <v/>
      </c>
      <c r="G35" s="66">
        <f>IF(Objekt!$C$9="Ja",D35*Objekt!$C$10,0)</f>
        <v/>
      </c>
      <c r="H35" s="66">
        <f>D35+G35</f>
        <v/>
      </c>
      <c r="I35" s="64" t="n"/>
    </row>
    <row r="36">
      <c r="B36" s="65" t="n">
        <v>22</v>
      </c>
      <c r="C36" s="65">
        <f>Kostenarten!C27</f>
        <v/>
      </c>
      <c r="D36" s="66">
        <f>Kostenarten!Q27</f>
        <v/>
      </c>
      <c r="E36" s="67">
        <f>Kostenarten!I27</f>
        <v/>
      </c>
      <c r="F36" s="68">
        <f>Kostenarten!M27</f>
        <v/>
      </c>
      <c r="G36" s="66">
        <f>IF(Objekt!$C$9="Ja",D36*Objekt!$C$10,0)</f>
        <v/>
      </c>
      <c r="H36" s="66">
        <f>D36+G36</f>
        <v/>
      </c>
      <c r="I36" s="64" t="n"/>
    </row>
    <row r="37">
      <c r="B37" s="65" t="n">
        <v>23</v>
      </c>
      <c r="C37" s="65">
        <f>Kostenarten!C28</f>
        <v/>
      </c>
      <c r="D37" s="66">
        <f>Kostenarten!Q28</f>
        <v/>
      </c>
      <c r="E37" s="67">
        <f>Kostenarten!I28</f>
        <v/>
      </c>
      <c r="F37" s="68">
        <f>Kostenarten!M28</f>
        <v/>
      </c>
      <c r="G37" s="66">
        <f>IF(Objekt!$C$9="Ja",D37*Objekt!$C$10,0)</f>
        <v/>
      </c>
      <c r="H37" s="66">
        <f>D37+G37</f>
        <v/>
      </c>
      <c r="I37" s="64" t="n"/>
    </row>
    <row r="38">
      <c r="B38" s="65" t="n">
        <v>24</v>
      </c>
      <c r="C38" s="65">
        <f>Kostenarten!C29</f>
        <v/>
      </c>
      <c r="D38" s="66">
        <f>Kostenarten!Q29</f>
        <v/>
      </c>
      <c r="E38" s="67">
        <f>Kostenarten!I29</f>
        <v/>
      </c>
      <c r="F38" s="68">
        <f>Kostenarten!M29</f>
        <v/>
      </c>
      <c r="G38" s="66">
        <f>IF(Objekt!$C$9="Ja",D38*Objekt!$C$10,0)</f>
        <v/>
      </c>
      <c r="H38" s="66">
        <f>D38+G38</f>
        <v/>
      </c>
      <c r="I38" s="64" t="n"/>
    </row>
    <row r="39">
      <c r="B39" s="65" t="n">
        <v>25</v>
      </c>
      <c r="C39" s="65">
        <f>Kostenarten!C30</f>
        <v/>
      </c>
      <c r="D39" s="66">
        <f>Kostenarten!Q30</f>
        <v/>
      </c>
      <c r="E39" s="67">
        <f>Kostenarten!I30</f>
        <v/>
      </c>
      <c r="F39" s="68">
        <f>Kostenarten!M30</f>
        <v/>
      </c>
      <c r="G39" s="66">
        <f>IF(Objekt!$C$9="Ja",D39*Objekt!$C$10,0)</f>
        <v/>
      </c>
      <c r="H39" s="66">
        <f>D39+G39</f>
        <v/>
      </c>
      <c r="I39" s="64" t="n"/>
    </row>
    <row r="40">
      <c r="B40" s="65" t="n">
        <v>26</v>
      </c>
      <c r="C40" s="65">
        <f>Kostenarten!C31</f>
        <v/>
      </c>
      <c r="D40" s="66">
        <f>Kostenarten!Q31</f>
        <v/>
      </c>
      <c r="E40" s="67">
        <f>Kostenarten!I31</f>
        <v/>
      </c>
      <c r="F40" s="68">
        <f>Kostenarten!M31</f>
        <v/>
      </c>
      <c r="G40" s="66">
        <f>IF(Objekt!$C$9="Ja",D40*Objekt!$C$10,0)</f>
        <v/>
      </c>
      <c r="H40" s="66">
        <f>D40+G40</f>
        <v/>
      </c>
      <c r="I40" s="64" t="n"/>
    </row>
    <row r="41">
      <c r="B41" s="65" t="n">
        <v>27</v>
      </c>
      <c r="C41" s="69">
        <f>Kostenarten!C32</f>
        <v/>
      </c>
      <c r="D41" s="66">
        <f>Kostenarten!Q32</f>
        <v/>
      </c>
      <c r="E41" s="67">
        <f>Kostenarten!I32</f>
        <v/>
      </c>
      <c r="F41" s="68">
        <f>Kostenarten!M32</f>
        <v/>
      </c>
      <c r="G41" s="66">
        <f>IF(Objekt!$C$9="Ja",D41*Objekt!$C$10,0)</f>
        <v/>
      </c>
      <c r="H41" s="66">
        <f>D41+G41</f>
        <v/>
      </c>
      <c r="I41" s="64" t="n"/>
    </row>
    <row r="42">
      <c r="B42" s="65" t="n">
        <v>28</v>
      </c>
      <c r="C42" s="69">
        <f>Kostenarten!C33</f>
        <v/>
      </c>
      <c r="D42" s="66">
        <f>Kostenarten!Q33</f>
        <v/>
      </c>
      <c r="E42" s="67">
        <f>Kostenarten!I33</f>
        <v/>
      </c>
      <c r="F42" s="68">
        <f>Kostenarten!M33</f>
        <v/>
      </c>
      <c r="G42" s="66">
        <f>IF(Objekt!$C$9="Ja",D42*Objekt!$C$10,0)</f>
        <v/>
      </c>
      <c r="H42" s="66">
        <f>D42+G42</f>
        <v/>
      </c>
      <c r="I42" s="64" t="n"/>
    </row>
    <row r="43">
      <c r="B43" s="65" t="n">
        <v>29</v>
      </c>
      <c r="C43" s="69">
        <f>Kostenarten!C34</f>
        <v/>
      </c>
      <c r="D43" s="66">
        <f>Kostenarten!Q34</f>
        <v/>
      </c>
      <c r="E43" s="67">
        <f>Kostenarten!I34</f>
        <v/>
      </c>
      <c r="F43" s="68">
        <f>Kostenarten!M34</f>
        <v/>
      </c>
      <c r="G43" s="66">
        <f>IF(Objekt!$C$9="Ja",D43*Objekt!$C$10,0)</f>
        <v/>
      </c>
      <c r="H43" s="66">
        <f>D43+G43</f>
        <v/>
      </c>
      <c r="I43" s="64" t="n"/>
    </row>
    <row r="44">
      <c r="B44" s="65" t="n">
        <v>30</v>
      </c>
      <c r="C44" s="69">
        <f>Kostenarten!C35</f>
        <v/>
      </c>
      <c r="D44" s="66">
        <f>Kostenarten!Q35</f>
        <v/>
      </c>
      <c r="E44" s="67">
        <f>Kostenarten!I35</f>
        <v/>
      </c>
      <c r="F44" s="68">
        <f>Kostenarten!M35</f>
        <v/>
      </c>
      <c r="G44" s="66">
        <f>IF(Objekt!$C$9="Ja",D44*Objekt!$C$10,0)</f>
        <v/>
      </c>
      <c r="H44" s="66">
        <f>D44+G44</f>
        <v/>
      </c>
      <c r="I44" s="64" t="n"/>
    </row>
    <row r="45">
      <c r="B45" s="65" t="n">
        <v>31</v>
      </c>
      <c r="C45" s="69">
        <f>Kostenarten!C36</f>
        <v/>
      </c>
      <c r="D45" s="66">
        <f>Kostenarten!Q36</f>
        <v/>
      </c>
      <c r="E45" s="67">
        <f>Kostenarten!I36</f>
        <v/>
      </c>
      <c r="F45" s="68">
        <f>Kostenarten!M36</f>
        <v/>
      </c>
      <c r="G45" s="66">
        <f>IF(Objekt!$C$9="Ja",D45*Objekt!$C$10,0)</f>
        <v/>
      </c>
      <c r="H45" s="66">
        <f>D45+G45</f>
        <v/>
      </c>
      <c r="I45" s="64" t="n"/>
    </row>
    <row r="46">
      <c r="B46" s="64" t="n"/>
      <c r="C46" s="83" t="inlineStr">
        <is>
          <t>Zwischensumme</t>
        </is>
      </c>
      <c r="D46" s="57">
        <f>SUM(D15:D45)</f>
        <v/>
      </c>
      <c r="E46" s="64" t="n"/>
      <c r="F46" s="84" t="n"/>
      <c r="G46" s="57">
        <f>SUM(G15:G45)</f>
        <v/>
      </c>
      <c r="H46" s="57">
        <f>SUM(H15:H45)</f>
        <v/>
      </c>
      <c r="I46" s="64" t="n"/>
    </row>
    <row r="47">
      <c r="B47" s="64" t="n"/>
      <c r="C47" s="64" t="n"/>
      <c r="D47" s="85" t="n"/>
      <c r="E47" s="64" t="n"/>
      <c r="F47" s="84" t="n"/>
      <c r="G47" s="85" t="n"/>
      <c r="H47" s="85" t="n"/>
      <c r="I47" s="64" t="n"/>
    </row>
    <row r="48">
      <c r="B48" s="71" t="inlineStr">
        <is>
          <t>Ergebnis</t>
        </is>
      </c>
      <c r="C48" s="64" t="n"/>
      <c r="D48" s="85" t="n"/>
      <c r="E48" s="64" t="n"/>
      <c r="F48" s="84" t="n"/>
      <c r="G48" s="85" t="n"/>
      <c r="H48" s="85" t="n"/>
      <c r="I48" s="64" t="n"/>
    </row>
    <row r="49">
      <c r="B49" s="72" t="inlineStr">
        <is>
          <t>Summe Anteil netto</t>
        </is>
      </c>
      <c r="C49" s="66">
        <f>D46</f>
        <v/>
      </c>
      <c r="D49" s="85" t="n"/>
      <c r="E49" s="64" t="n"/>
      <c r="F49" s="64" t="n"/>
      <c r="G49" s="85" t="n"/>
      <c r="H49" s="85" t="n"/>
      <c r="I49" s="64" t="n"/>
    </row>
    <row r="50">
      <c r="B50" s="72" t="inlineStr">
        <is>
          <t>zzgl. Umsatzsteuer</t>
        </is>
      </c>
      <c r="C50" s="66">
        <f>G46</f>
        <v/>
      </c>
      <c r="D50" s="64" t="n"/>
      <c r="E50" s="64" t="n"/>
      <c r="F50" s="64" t="n"/>
      <c r="G50" s="64" t="n"/>
      <c r="H50" s="64" t="n"/>
      <c r="I50" s="64" t="n"/>
    </row>
    <row r="51">
      <c r="B51" s="72" t="inlineStr">
        <is>
          <t>Summe brutto</t>
        </is>
      </c>
      <c r="C51" s="66">
        <f>H46</f>
        <v/>
      </c>
      <c r="D51" s="64" t="n"/>
      <c r="E51" s="64" t="n"/>
      <c r="F51" s="64" t="n"/>
      <c r="G51" s="64" t="n"/>
      <c r="H51" s="64" t="n"/>
      <c r="I51" s="64" t="n"/>
    </row>
    <row r="52">
      <c r="B52" s="72" t="inlineStr">
        <is>
          <t>abzgl. Vorauszahlungen brutto</t>
        </is>
      </c>
      <c r="C52" s="66">
        <f>Mieter!J9</f>
        <v/>
      </c>
      <c r="D52" s="64" t="n"/>
      <c r="E52" s="64" t="n"/>
      <c r="F52" s="64" t="n"/>
      <c r="G52" s="64" t="n"/>
      <c r="H52" s="64" t="n"/>
      <c r="I52" s="64" t="n"/>
    </row>
    <row r="53">
      <c r="B53" s="73" t="inlineStr">
        <is>
          <t>Nachzahlung / Guthaben (−)</t>
        </is>
      </c>
      <c r="C53" s="57">
        <f>C51-C52</f>
        <v/>
      </c>
      <c r="D53" s="64" t="n"/>
      <c r="E53" s="64" t="n"/>
      <c r="F53" s="64" t="n"/>
      <c r="G53" s="64" t="n"/>
      <c r="H53" s="64" t="n"/>
      <c r="I53" s="64" t="n"/>
    </row>
    <row r="54">
      <c r="B54" s="64" t="n"/>
      <c r="C54" s="85" t="n"/>
      <c r="D54" s="64" t="n"/>
      <c r="E54" s="64" t="n"/>
      <c r="F54" s="64" t="n"/>
      <c r="G54" s="64" t="n"/>
      <c r="H54" s="64" t="n"/>
      <c r="I54" s="64" t="n"/>
    </row>
    <row r="55">
      <c r="B55" s="74" t="inlineStr">
        <is>
          <t>Einzelumlagen mit Zuordnung M1–M4 sind in der Summe enthalten.</t>
        </is>
      </c>
      <c r="C55" s="85" t="n"/>
      <c r="D55" s="64" t="n"/>
      <c r="E55" s="64" t="n"/>
      <c r="F55" s="64" t="n"/>
      <c r="G55" s="64" t="n"/>
      <c r="H55" s="64" t="n"/>
      <c r="I55" s="64" t="n"/>
    </row>
    <row r="56">
      <c r="B56" s="64" t="n"/>
      <c r="C56" s="85" t="n"/>
      <c r="D56" s="64" t="n"/>
      <c r="E56" s="64" t="n"/>
      <c r="F56" s="64" t="n"/>
      <c r="G56" s="64" t="n"/>
      <c r="H56" s="64" t="n"/>
      <c r="I56" s="64" t="n"/>
    </row>
    <row r="57">
      <c r="B57" s="72" t="inlineStr">
        <is>
          <t>Erstellt am</t>
        </is>
      </c>
      <c r="C57" s="75" t="n">
        <v>46241</v>
      </c>
      <c r="D57" s="64" t="n"/>
      <c r="E57" s="64" t="n"/>
      <c r="F57" s="64" t="n"/>
      <c r="G57" s="64" t="n"/>
      <c r="H57" s="64" t="n"/>
      <c r="I57" s="64" t="n"/>
    </row>
    <row r="58">
      <c r="B58" s="72" t="inlineStr">
        <is>
          <t>Erstellt durch</t>
        </is>
      </c>
      <c r="C58" s="76" t="n"/>
      <c r="D58" s="64" t="n"/>
      <c r="E58" s="64" t="n"/>
      <c r="F58" s="64" t="n"/>
      <c r="G58" s="64" t="n"/>
      <c r="H58" s="64" t="n"/>
      <c r="I58" s="64" t="n"/>
    </row>
    <row r="59">
      <c r="B59" s="64" t="n"/>
      <c r="C59" s="64" t="n"/>
      <c r="D59" s="64" t="n"/>
      <c r="E59" s="64" t="n"/>
      <c r="F59" s="64" t="n"/>
      <c r="G59" s="64" t="n"/>
      <c r="H59" s="64" t="n"/>
      <c r="I59" s="64" t="n"/>
    </row>
    <row r="60">
      <c r="B60" s="64" t="n"/>
      <c r="C60" s="86" t="n"/>
      <c r="D60" s="64" t="n"/>
      <c r="E60" s="64" t="n"/>
      <c r="F60" s="64" t="n"/>
      <c r="G60" s="64" t="n"/>
      <c r="H60" s="64" t="n"/>
      <c r="I60" s="64" t="n"/>
    </row>
    <row r="61">
      <c r="B61" s="64" t="n"/>
      <c r="C61" s="64" t="n"/>
      <c r="D61" s="64" t="n"/>
      <c r="E61" s="64" t="n"/>
      <c r="F61" s="64" t="n"/>
      <c r="G61" s="64" t="n"/>
      <c r="H61" s="64" t="n"/>
      <c r="I61" s="64" t="n"/>
    </row>
    <row r="62">
      <c r="B62" s="64" t="n"/>
      <c r="C62" s="64" t="n"/>
      <c r="D62" s="64" t="n"/>
      <c r="E62" s="64" t="n"/>
      <c r="F62" s="64" t="n"/>
      <c r="G62" s="64" t="n"/>
      <c r="H62" s="64" t="n"/>
      <c r="I62" s="64" t="n"/>
    </row>
    <row r="63">
      <c r="B63" s="64" t="n"/>
      <c r="C63" s="64" t="n"/>
      <c r="D63" s="64" t="n"/>
      <c r="E63" s="64" t="n"/>
      <c r="F63" s="64" t="n"/>
      <c r="G63" s="64" t="n"/>
      <c r="H63" s="64" t="n"/>
      <c r="I63" s="64" t="n"/>
    </row>
    <row r="64">
      <c r="B64" s="64" t="n"/>
      <c r="C64" s="64" t="n"/>
      <c r="D64" s="64" t="n"/>
      <c r="E64" s="64" t="n"/>
      <c r="F64" s="64" t="n"/>
      <c r="G64" s="64" t="n"/>
      <c r="H64" s="64" t="n"/>
      <c r="I64" s="64" t="n"/>
    </row>
    <row r="65">
      <c r="B65" s="64" t="n"/>
      <c r="C65" s="64" t="n"/>
      <c r="D65" s="64" t="n"/>
      <c r="E65" s="64" t="n"/>
      <c r="F65" s="64" t="n"/>
      <c r="G65" s="64" t="n"/>
      <c r="H65" s="64" t="n"/>
      <c r="I65" s="64" t="n"/>
    </row>
    <row r="66">
      <c r="B66" s="64" t="n"/>
      <c r="C66" s="64" t="n"/>
      <c r="D66" s="64" t="n"/>
      <c r="E66" s="64" t="n"/>
      <c r="F66" s="64" t="n"/>
      <c r="G66" s="64" t="n"/>
      <c r="H66" s="64" t="n"/>
      <c r="I66" s="64" t="n"/>
    </row>
    <row r="67">
      <c r="B67" s="64" t="n"/>
      <c r="C67" s="64" t="n"/>
      <c r="D67" s="64" t="n"/>
      <c r="E67" s="64" t="n"/>
      <c r="F67" s="64" t="n"/>
      <c r="G67" s="64" t="n"/>
      <c r="H67" s="64" t="n"/>
      <c r="I67" s="64" t="n"/>
    </row>
    <row r="68">
      <c r="B68" s="64" t="n"/>
      <c r="C68" s="64" t="n"/>
      <c r="D68" s="64" t="n"/>
      <c r="E68" s="64" t="n"/>
      <c r="F68" s="64" t="n"/>
      <c r="G68" s="64" t="n"/>
      <c r="H68" s="64" t="n"/>
      <c r="I68" s="64" t="n"/>
    </row>
    <row r="69">
      <c r="B69" s="64" t="n"/>
      <c r="C69" s="64" t="n"/>
      <c r="D69" s="64" t="n"/>
      <c r="E69" s="64" t="n"/>
      <c r="F69" s="64" t="n"/>
      <c r="G69" s="64" t="n"/>
      <c r="H69" s="64" t="n"/>
      <c r="I69" s="64" t="n"/>
    </row>
    <row r="70">
      <c r="B70" s="64" t="n"/>
      <c r="C70" s="64" t="n"/>
      <c r="D70" s="64" t="n"/>
      <c r="E70" s="64" t="n"/>
      <c r="F70" s="64" t="n"/>
      <c r="G70" s="64" t="n"/>
      <c r="H70" s="64" t="n"/>
      <c r="I70" s="64" t="n"/>
    </row>
    <row r="71">
      <c r="B71" s="64" t="n"/>
      <c r="C71" s="64" t="n"/>
      <c r="D71" s="64" t="n"/>
      <c r="E71" s="64" t="n"/>
      <c r="F71" s="64" t="n"/>
      <c r="G71" s="64" t="n"/>
      <c r="H71" s="64" t="n"/>
      <c r="I71" s="64" t="n"/>
    </row>
    <row r="72">
      <c r="B72" s="64" t="n"/>
      <c r="C72" s="64" t="n"/>
      <c r="D72" s="64" t="n"/>
      <c r="E72" s="64" t="n"/>
      <c r="F72" s="64" t="n"/>
      <c r="G72" s="64" t="n"/>
      <c r="H72" s="64" t="n"/>
      <c r="I72" s="64" t="n"/>
    </row>
    <row r="73">
      <c r="B73" s="64" t="n"/>
      <c r="C73" s="64" t="n"/>
      <c r="D73" s="64" t="n"/>
      <c r="E73" s="64" t="n"/>
      <c r="F73" s="64" t="n"/>
      <c r="G73" s="64" t="n"/>
      <c r="H73" s="64" t="n"/>
      <c r="I73" s="64" t="n"/>
    </row>
    <row r="74">
      <c r="B74" s="64" t="n"/>
      <c r="C74" s="64" t="n"/>
      <c r="D74" s="64" t="n"/>
      <c r="E74" s="64" t="n"/>
      <c r="F74" s="64" t="n"/>
      <c r="G74" s="64" t="n"/>
      <c r="H74" s="64" t="n"/>
      <c r="I74" s="64" t="n"/>
    </row>
    <row r="75">
      <c r="B75" s="64" t="n"/>
      <c r="C75" s="64" t="n"/>
      <c r="D75" s="64" t="n"/>
      <c r="E75" s="64" t="n"/>
      <c r="F75" s="64" t="n"/>
      <c r="G75" s="64" t="n"/>
      <c r="H75" s="64" t="n"/>
      <c r="I75" s="64" t="n"/>
    </row>
    <row r="76">
      <c r="B76" s="64" t="n"/>
      <c r="C76" s="64" t="n"/>
      <c r="D76" s="64" t="n"/>
      <c r="E76" s="64" t="n"/>
      <c r="F76" s="64" t="n"/>
      <c r="G76" s="64" t="n"/>
      <c r="H76" s="64" t="n"/>
      <c r="I76" s="64" t="n"/>
    </row>
    <row r="77">
      <c r="B77" s="64" t="n"/>
      <c r="C77" s="64" t="n"/>
      <c r="D77" s="64" t="n"/>
      <c r="E77" s="64" t="n"/>
      <c r="F77" s="64" t="n"/>
      <c r="G77" s="64" t="n"/>
      <c r="H77" s="64" t="n"/>
      <c r="I77" s="64" t="n"/>
    </row>
    <row r="78">
      <c r="B78" s="64" t="n"/>
      <c r="C78" s="64" t="n"/>
      <c r="D78" s="64" t="n"/>
      <c r="E78" s="64" t="n"/>
      <c r="F78" s="64" t="n"/>
      <c r="G78" s="64" t="n"/>
      <c r="H78" s="64" t="n"/>
      <c r="I78" s="64" t="n"/>
    </row>
    <row r="79">
      <c r="B79" s="64" t="n"/>
      <c r="C79" s="64" t="n"/>
      <c r="D79" s="64" t="n"/>
      <c r="E79" s="64" t="n"/>
      <c r="F79" s="64" t="n"/>
      <c r="G79" s="64" t="n"/>
      <c r="H79" s="64" t="n"/>
      <c r="I79" s="64" t="n"/>
    </row>
    <row r="80">
      <c r="B80" s="64" t="n"/>
      <c r="C80" s="64" t="n"/>
      <c r="D80" s="64" t="n"/>
      <c r="E80" s="64" t="n"/>
      <c r="F80" s="64" t="n"/>
      <c r="G80" s="64" t="n"/>
      <c r="H80" s="64" t="n"/>
      <c r="I80" s="64" t="n"/>
    </row>
    <row r="81">
      <c r="B81" s="64" t="n"/>
      <c r="C81" s="64" t="n"/>
      <c r="D81" s="64" t="n"/>
      <c r="E81" s="64" t="n"/>
      <c r="F81" s="64" t="n"/>
      <c r="G81" s="64" t="n"/>
      <c r="H81" s="64" t="n"/>
      <c r="I81" s="64" t="n"/>
    </row>
    <row r="82">
      <c r="B82" s="64" t="n"/>
      <c r="C82" s="64" t="n"/>
      <c r="D82" s="64" t="n"/>
      <c r="E82" s="64" t="n"/>
      <c r="F82" s="64" t="n"/>
      <c r="G82" s="64" t="n"/>
      <c r="H82" s="64" t="n"/>
      <c r="I82" s="64" t="n"/>
    </row>
    <row r="83">
      <c r="B83" s="64" t="n"/>
      <c r="C83" s="64" t="n"/>
      <c r="D83" s="64" t="n"/>
      <c r="E83" s="64" t="n"/>
      <c r="F83" s="64" t="n"/>
      <c r="G83" s="64" t="n"/>
      <c r="H83" s="64" t="n"/>
      <c r="I83" s="64" t="n"/>
    </row>
    <row r="84">
      <c r="B84" s="64" t="n"/>
      <c r="C84" s="64" t="n"/>
      <c r="D84" s="64" t="n"/>
      <c r="E84" s="64" t="n"/>
      <c r="F84" s="64" t="n"/>
      <c r="G84" s="64" t="n"/>
      <c r="H84" s="64" t="n"/>
      <c r="I84" s="64" t="n"/>
    </row>
    <row r="85">
      <c r="B85" s="64" t="n"/>
      <c r="C85" s="64" t="n"/>
      <c r="D85" s="64" t="n"/>
      <c r="E85" s="64" t="n"/>
      <c r="F85" s="64" t="n"/>
      <c r="G85" s="64" t="n"/>
      <c r="H85" s="64" t="n"/>
      <c r="I85" s="64" t="n"/>
    </row>
    <row r="86">
      <c r="B86" s="64" t="n"/>
      <c r="C86" s="64" t="n"/>
      <c r="D86" s="64" t="n"/>
      <c r="E86" s="64" t="n"/>
      <c r="F86" s="64" t="n"/>
      <c r="G86" s="64" t="n"/>
      <c r="H86" s="64" t="n"/>
      <c r="I86" s="64" t="n"/>
    </row>
    <row r="87">
      <c r="B87" s="64" t="n"/>
      <c r="C87" s="64" t="n"/>
      <c r="D87" s="64" t="n"/>
      <c r="E87" s="64" t="n"/>
      <c r="F87" s="64" t="n"/>
      <c r="G87" s="64" t="n"/>
      <c r="H87" s="64" t="n"/>
      <c r="I87" s="64" t="n"/>
    </row>
    <row r="88">
      <c r="B88" s="64" t="n"/>
      <c r="C88" s="64" t="n"/>
      <c r="D88" s="64" t="n"/>
      <c r="E88" s="64" t="n"/>
      <c r="F88" s="64" t="n"/>
      <c r="G88" s="64" t="n"/>
      <c r="H88" s="64" t="n"/>
      <c r="I88" s="64" t="n"/>
    </row>
    <row r="89">
      <c r="B89" s="64" t="n"/>
      <c r="C89" s="64" t="n"/>
      <c r="D89" s="64" t="n"/>
      <c r="E89" s="64" t="n"/>
      <c r="F89" s="64" t="n"/>
      <c r="G89" s="64" t="n"/>
      <c r="H89" s="64" t="n"/>
      <c r="I89" s="64" t="n"/>
    </row>
  </sheetData>
  <mergeCells count="3">
    <mergeCell ref="C7:E7"/>
    <mergeCell ref="C6:E6"/>
    <mergeCell ref="C5:E5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2026-08-05T12:00:05Z</dcterms:created>
  <dcterms:modified xsi:type="dcterms:W3CDTF">2026-08-07T10:50:36Z</dcterms:modified>
</cp:coreProperties>
</file>