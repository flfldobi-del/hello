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Stammdaten" sheetId="2" state="visible" r:id="rId2"/>
    <sheet name="Vertrags-Matrix" sheetId="3" state="visible" r:id="rId3"/>
    <sheet name="Kostenarten" sheetId="4" state="visible" r:id="rId4"/>
    <sheet name="Abrechnung" sheetId="5" state="visible" r:id="rId5"/>
    <sheet name="Checkliste" sheetId="6" state="visible" r:id="rId6"/>
    <sheet name="Vorauszahlungen" sheetId="7" state="visible" r:id="rId7"/>
  </sheets>
  <definedNames>
    <definedName name="_xlnm._FilterDatabase" localSheetId="2" hidden="1">'Vertrags-Matrix'!$B$5:$J$40</definedName>
    <definedName name="_xlnm._FilterDatabase" localSheetId="3" hidden="1">'Kostenarten'!$B$5:$J$35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75467"/>
      <sz val="10"/>
    </font>
    <font>
      <name val="Calibri"/>
      <b val="1"/>
      <color rgb="001F4E79"/>
      <sz val="12"/>
    </font>
    <font>
      <name val="Calibri"/>
      <sz val="10"/>
    </font>
    <font>
      <name val="Calibri"/>
      <b val="1"/>
      <color rgb="00344054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E8F1F8"/>
      </patternFill>
    </fill>
    <fill>
      <patternFill patternType="solid">
        <fgColor rgb="00FFF8E7"/>
      </patternFill>
    </fill>
    <fill>
      <patternFill patternType="solid">
        <fgColor rgb="00F2F4F7"/>
      </patternFill>
    </fill>
    <fill>
      <patternFill patternType="solid">
        <fgColor rgb="00D1FADF"/>
      </patternFill>
    </fill>
    <fill>
      <patternFill patternType="solid">
        <fgColor rgb="00FEE4E2"/>
      </patternFill>
    </fill>
    <fill>
      <patternFill patternType="solid">
        <fgColor rgb="001F4E79"/>
      </patternFill>
    </fill>
    <fill>
      <patternFill patternType="solid">
        <fgColor rgb="00D0E4F5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5" borderId="0" pivotButton="0" quotePrefix="0" xfId="0"/>
    <xf numFmtId="0" fontId="4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left" vertical="center" wrapText="1"/>
    </xf>
    <xf numFmtId="10" fontId="0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10" fontId="0" fillId="4" borderId="1" pivotButton="0" quotePrefix="0" xfId="0"/>
    <xf numFmtId="166" fontId="0" fillId="4" borderId="1" pivotButton="0" quotePrefix="0" xfId="0"/>
    <xf numFmtId="0" fontId="3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166" fontId="0" fillId="3" borderId="1" pivotButton="0" quotePrefix="0" xfId="0"/>
    <xf numFmtId="10" fontId="0" fillId="3" borderId="1" pivotButton="0" quotePrefix="0" xfId="0"/>
    <xf numFmtId="0" fontId="7" fillId="8" borderId="0" pivotButton="0" quotePrefix="0" xfId="0"/>
    <xf numFmtId="166" fontId="7" fillId="8" borderId="1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4" borderId="1" pivotButton="0" quotePrefix="0" xfId="0"/>
    <xf numFmtId="2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EF0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Nebenkostenabrechnung Gewerbe – Arbeitsmappe</t>
        </is>
      </c>
    </row>
    <row r="3">
      <c r="B3" s="2" t="inlineStr">
        <is>
          <t>Vorlage für Vermieter / Kanzlei · Vertragsmatrix · Abrechnung · USt-Check</t>
        </is>
      </c>
    </row>
    <row r="5" ht="22" customHeight="1">
      <c r="B5" s="3" t="inlineStr">
        <is>
          <t>1. Stammdaten</t>
        </is>
      </c>
    </row>
    <row r="6" ht="38" customHeight="1">
      <c r="B6" s="4" t="inlineStr">
        <is>
          <t>Objekt, Mieter, Abrechnungsjahr, USt-Option und Flächen eintragen.</t>
        </is>
      </c>
    </row>
    <row r="8" ht="22" customHeight="1">
      <c r="B8" s="3" t="inlineStr">
        <is>
          <t>2. Vertrags-Matrix</t>
        </is>
      </c>
    </row>
    <row r="9" ht="38" customHeight="1">
      <c r="B9" s="4" t="inlineStr">
        <is>
          <t>Je Kostenart: laut Mietvertrag umlagefähig? Schlüssel? Bemerkung? Gelbe Felder = Eingabe.</t>
        </is>
      </c>
    </row>
    <row r="11" ht="22" customHeight="1">
      <c r="B11" s="3" t="inlineStr">
        <is>
          <t>3. Kosten erfassen</t>
        </is>
      </c>
    </row>
    <row r="12" ht="38" customHeight="1">
      <c r="B12" s="4" t="inlineStr">
        <is>
          <t>Im Blatt „Kostenarten“ die Jahreskosten netto eintragen. Nicht umlagefähiges bleibt auf „Nein“.</t>
        </is>
      </c>
    </row>
    <row r="14" ht="22" customHeight="1">
      <c r="B14" s="3" t="inlineStr">
        <is>
          <t>4. Abrechnung</t>
        </is>
      </c>
    </row>
    <row r="15" ht="38" customHeight="1">
      <c r="B15" s="4" t="inlineStr">
        <is>
          <t>Blatt „Abrechnung“ berechnet Anteile, USt und Saldo automatisch aus Stammdaten + Kostenarten + Vorauszahlungen.</t>
        </is>
      </c>
    </row>
    <row r="17" ht="22" customHeight="1">
      <c r="B17" s="3" t="inlineStr">
        <is>
          <t>5. Checkliste</t>
        </is>
      </c>
    </row>
    <row r="18" ht="38" customHeight="1">
      <c r="B18" s="4" t="inlineStr">
        <is>
          <t>Vor Versand die Checkliste abhaken. Belege und Vertrag griffbereit halten.</t>
        </is>
      </c>
    </row>
    <row r="20" ht="22" customHeight="1">
      <c r="B20" s="3" t="inlineStr">
        <is>
          <t>Farblegende</t>
        </is>
      </c>
    </row>
    <row r="21" ht="38" customHeight="1">
      <c r="B21" s="5" t="inlineStr">
        <is>
          <t>Gelb = Eingabefeld</t>
        </is>
      </c>
    </row>
    <row r="22">
      <c r="B22" s="6" t="inlineStr">
        <is>
          <t>Grau = Formel / automatisch</t>
        </is>
      </c>
    </row>
    <row r="23" ht="22" customHeight="1">
      <c r="B23" s="7" t="inlineStr">
        <is>
          <t>Grün = umlagefähig Ja</t>
        </is>
      </c>
    </row>
    <row r="24" ht="38" customHeight="1">
      <c r="B24" s="8" t="inlineStr">
        <is>
          <t>Rot = nicht umlagefähig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32" customWidth="1" min="3" max="3"/>
    <col width="18" customWidth="1" min="4" max="4"/>
    <col width="18" customWidth="1" min="5" max="5"/>
    <col width="22" customWidth="1" min="6" max="6"/>
  </cols>
  <sheetData>
    <row r="2">
      <c r="B2" s="1" t="inlineStr">
        <is>
          <t>Stammdaten Objekt &amp; Mieter</t>
        </is>
      </c>
    </row>
    <row r="3">
      <c r="B3" s="2" t="inlineStr">
        <is>
          <t>Gelbe Felder ausfüllen – die Abrechnung bezieht sich darauf.</t>
        </is>
      </c>
    </row>
    <row r="5">
      <c r="B5" s="9" t="inlineStr">
        <is>
          <t>Objekt / Adresse</t>
        </is>
      </c>
      <c r="C5" s="10" t="inlineStr">
        <is>
          <t>Musterstraße 1, 80331 München</t>
        </is>
      </c>
    </row>
    <row r="6">
      <c r="B6" s="9" t="inlineStr">
        <is>
          <t>Einheit / Fläche Mieter</t>
        </is>
      </c>
      <c r="C6" s="10" t="inlineStr">
        <is>
          <t>EG Laden / Büro</t>
        </is>
      </c>
    </row>
    <row r="7">
      <c r="B7" s="9" t="inlineStr">
        <is>
          <t>Mieter (Firma)</t>
        </is>
      </c>
      <c r="C7" s="10" t="inlineStr">
        <is>
          <t>Muster Handel GmbH</t>
        </is>
      </c>
    </row>
    <row r="8">
      <c r="B8" s="9" t="inlineStr">
        <is>
          <t>Mietvertragsdatum</t>
        </is>
      </c>
      <c r="C8" s="10" t="inlineStr">
        <is>
          <t>01.01.2023</t>
        </is>
      </c>
    </row>
    <row r="9">
      <c r="B9" s="9" t="inlineStr">
        <is>
          <t>Abrechnungszeitraum von</t>
        </is>
      </c>
      <c r="C9" s="11" t="n">
        <v>45658</v>
      </c>
    </row>
    <row r="10">
      <c r="B10" s="9" t="inlineStr">
        <is>
          <t>Abrechnungszeitraum bis</t>
        </is>
      </c>
      <c r="C10" s="11" t="n">
        <v>46022</v>
      </c>
    </row>
    <row r="11">
      <c r="B11" s="9" t="inlineStr">
        <is>
          <t>USt-Option Vermietung</t>
        </is>
      </c>
      <c r="C11" s="10" t="inlineStr">
        <is>
          <t>Ja</t>
        </is>
      </c>
    </row>
    <row r="12">
      <c r="B12" s="9" t="inlineStr">
        <is>
          <t>USt-Satz</t>
        </is>
      </c>
      <c r="C12" s="12" t="n">
        <v>0.19</v>
      </c>
    </row>
    <row r="13">
      <c r="B13" s="9" t="inlineStr">
        <is>
          <t>Fläche Mieter m²</t>
        </is>
      </c>
      <c r="C13" s="13" t="n">
        <v>120</v>
      </c>
    </row>
    <row r="14">
      <c r="B14" s="9" t="inlineStr">
        <is>
          <t>Gesamtfläche Abrechnungseinheit m²</t>
        </is>
      </c>
      <c r="C14" s="13" t="n">
        <v>800</v>
      </c>
    </row>
    <row r="15">
      <c r="B15" s="9" t="inlineStr">
        <is>
          <t>Umlageschlüssel Standard</t>
        </is>
      </c>
      <c r="C15" s="10" t="inlineStr">
        <is>
          <t>Fläche</t>
        </is>
      </c>
    </row>
    <row r="16">
      <c r="B16" s="9" t="inlineStr">
        <is>
          <t>Vorauszahlung NK / Monat netto</t>
        </is>
      </c>
      <c r="C16" s="14" t="n">
        <v>350</v>
      </c>
    </row>
    <row r="17">
      <c r="B17" s="9" t="inlineStr">
        <is>
          <t>Monate im Zeitraum</t>
        </is>
      </c>
      <c r="C17" s="10" t="n">
        <v>12</v>
      </c>
    </row>
    <row r="19">
      <c r="B19" s="3" t="inlineStr">
        <is>
          <t>Berechnet (nicht ändern)</t>
        </is>
      </c>
    </row>
    <row r="20">
      <c r="B20" s="15" t="inlineStr">
        <is>
          <t>Flächenanteil Mieter</t>
        </is>
      </c>
      <c r="C20" s="16">
        <f>IF(C14=0,0,C13/C14)</f>
        <v/>
      </c>
    </row>
    <row r="21">
      <c r="B21" s="15" t="inlineStr">
        <is>
          <t>Vorauszahlung Zeitraum netto</t>
        </is>
      </c>
      <c r="C21" s="17">
        <f>C16*C17</f>
        <v/>
      </c>
    </row>
    <row r="22">
      <c r="B22" s="15" t="inlineStr">
        <is>
          <t>Vorauszahlung Zeitraum brutto (inkl. USt)</t>
        </is>
      </c>
      <c r="C22" s="17">
        <f>IF(C11="Ja",C21*(1+C12),C21)</f>
        <v/>
      </c>
    </row>
    <row r="24">
      <c r="B24" s="18" t="inlineStr">
        <is>
          <t>Hinweise</t>
        </is>
      </c>
    </row>
    <row r="25" ht="28" customHeight="1">
      <c r="B25" s="4" t="inlineStr">
        <is>
          <t>• Bei USt-Option = Ja: Kostenarten netto erfassen; Abrechnung setzt USt auf den Mieteranteil.</t>
        </is>
      </c>
    </row>
    <row r="26" ht="28" customHeight="1">
      <c r="B26" s="4" t="inlineStr">
        <is>
          <t>• Fläche Abrechnungseinheit = alle Flächen, auf die die Kosten verteilt werden (nicht immer das ganze Grundstück).</t>
        </is>
      </c>
    </row>
    <row r="27" ht="28" customHeight="1">
      <c r="B27" s="4" t="inlineStr">
        <is>
          <t>• Weicht der Vertragsschlüssel je Kostenart ab, in Kostenarten/Vertrags-Matrix je Zeile setzen.</t>
        </is>
      </c>
    </row>
  </sheetData>
  <mergeCells count="1">
    <mergeCell ref="B19:D19"/>
  </mergeCells>
  <dataValidations count="2">
    <dataValidation sqref="C11" showDropDown="0" showInputMessage="0" showErrorMessage="0" allowBlank="0" type="list">
      <formula1>"Ja,Nein"</formula1>
    </dataValidation>
    <dataValidation sqref="C15" showDropDown="0" showInputMessage="0" showErrorMessage="0" allowBlank="0" type="list">
      <formula1>"Fläche,Verbrauch,Nutzerzahl,Mischschlüssel,Vertraglich abweichend"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28" customWidth="1" min="9" max="9"/>
    <col width="32" customWidth="1" min="10" max="10"/>
  </cols>
  <sheetData>
    <row r="2">
      <c r="B2" s="1" t="inlineStr">
        <is>
          <t>Vertrags-Matrix – Umlagefähigkeit laut Mietvertrag</t>
        </is>
      </c>
    </row>
    <row r="3">
      <c r="B3" s="2" t="inlineStr">
        <is>
          <t>Vor der Abrechnung je Position klären. Nur „Ja“-Positionen fließen in die Abrechnung ein.</t>
        </is>
      </c>
    </row>
    <row r="5" ht="32" customHeight="1">
      <c r="B5" s="19" t="inlineStr">
        <is>
          <t>Nr</t>
        </is>
      </c>
      <c r="C5" s="19" t="inlineStr">
        <is>
          <t>Kostenart</t>
        </is>
      </c>
      <c r="D5" s="19" t="inlineStr">
        <is>
          <t>Im Vertrag?</t>
        </is>
      </c>
      <c r="E5" s="19" t="inlineStr">
        <is>
          <t>Umlagefähig?</t>
        </is>
      </c>
      <c r="F5" s="19" t="inlineStr">
        <is>
          <t>Verteilerschlüssel</t>
        </is>
      </c>
      <c r="G5" s="19" t="inlineStr">
        <is>
          <t>Obergrenze €</t>
        </is>
      </c>
      <c r="H5" s="19" t="inlineStr">
        <is>
          <t>USt-relevant?</t>
        </is>
      </c>
      <c r="I5" s="19" t="inlineStr">
        <is>
          <t>Vertragsfundstelle / Klausel</t>
        </is>
      </c>
      <c r="J5" s="19" t="inlineStr">
        <is>
          <t>Bemerkung / Risiko</t>
        </is>
      </c>
    </row>
    <row r="6">
      <c r="B6" s="20" t="n">
        <v>1</v>
      </c>
      <c r="C6" s="21" t="inlineStr">
        <is>
          <t>Grundsteuer</t>
        </is>
      </c>
      <c r="D6" s="22" t="inlineStr">
        <is>
          <t>Ja</t>
        </is>
      </c>
      <c r="E6" s="23" t="inlineStr">
        <is>
          <t>Ja</t>
        </is>
      </c>
      <c r="F6" s="22" t="inlineStr">
        <is>
          <t>Fläche</t>
        </is>
      </c>
      <c r="G6" s="22" t="n"/>
      <c r="H6" s="22" t="inlineStr">
        <is>
          <t>Nein</t>
        </is>
      </c>
      <c r="I6" s="10" t="inlineStr">
        <is>
          <t>§ … / BetrKV Nr. 1</t>
        </is>
      </c>
      <c r="J6" s="10" t="n"/>
    </row>
    <row r="7">
      <c r="B7" s="20" t="n">
        <v>2</v>
      </c>
      <c r="C7" s="21" t="inlineStr">
        <is>
          <t>Wasser / Abwasser</t>
        </is>
      </c>
      <c r="D7" s="22" t="inlineStr">
        <is>
          <t>Ja</t>
        </is>
      </c>
      <c r="E7" s="23" t="inlineStr">
        <is>
          <t>Ja</t>
        </is>
      </c>
      <c r="F7" s="22" t="inlineStr">
        <is>
          <t>Verbrauch</t>
        </is>
      </c>
      <c r="G7" s="22" t="n"/>
      <c r="H7" s="22" t="inlineStr">
        <is>
          <t>Ja</t>
        </is>
      </c>
      <c r="I7" s="10" t="n"/>
      <c r="J7" s="10" t="inlineStr">
        <is>
          <t>Zähler vorhanden?</t>
        </is>
      </c>
    </row>
    <row r="8">
      <c r="B8" s="20" t="n">
        <v>3</v>
      </c>
      <c r="C8" s="21" t="inlineStr">
        <is>
          <t>Heizung / Warmwasser</t>
        </is>
      </c>
      <c r="D8" s="22" t="inlineStr">
        <is>
          <t>Ja</t>
        </is>
      </c>
      <c r="E8" s="23" t="inlineStr">
        <is>
          <t>Ja</t>
        </is>
      </c>
      <c r="F8" s="22" t="inlineStr">
        <is>
          <t>Verbrauch</t>
        </is>
      </c>
      <c r="G8" s="22" t="n"/>
      <c r="H8" s="22" t="inlineStr">
        <is>
          <t>Ja</t>
        </is>
      </c>
      <c r="I8" s="10" t="inlineStr">
        <is>
          <t>HeizkostenV prüfen</t>
        </is>
      </c>
      <c r="J8" s="10" t="n"/>
    </row>
    <row r="9">
      <c r="B9" s="20" t="n">
        <v>4</v>
      </c>
      <c r="C9" s="21" t="inlineStr">
        <is>
          <t>Straßenreinigung / Müll</t>
        </is>
      </c>
      <c r="D9" s="22" t="inlineStr">
        <is>
          <t>Ja</t>
        </is>
      </c>
      <c r="E9" s="23" t="inlineStr">
        <is>
          <t>Ja</t>
        </is>
      </c>
      <c r="F9" s="22" t="inlineStr">
        <is>
          <t>Fläche</t>
        </is>
      </c>
      <c r="G9" s="22" t="n"/>
      <c r="H9" s="22" t="inlineStr">
        <is>
          <t>Ja</t>
        </is>
      </c>
      <c r="I9" s="10" t="n"/>
      <c r="J9" s="10" t="n"/>
    </row>
    <row r="10">
      <c r="B10" s="20" t="n">
        <v>5</v>
      </c>
      <c r="C10" s="21" t="inlineStr">
        <is>
          <t>Gebäudeversicherung</t>
        </is>
      </c>
      <c r="D10" s="22" t="inlineStr">
        <is>
          <t>Ja</t>
        </is>
      </c>
      <c r="E10" s="23" t="inlineStr">
        <is>
          <t>Ja</t>
        </is>
      </c>
      <c r="F10" s="22" t="inlineStr">
        <is>
          <t>Fläche</t>
        </is>
      </c>
      <c r="G10" s="22" t="n"/>
      <c r="H10" s="22" t="inlineStr">
        <is>
          <t>Nein</t>
        </is>
      </c>
      <c r="I10" s="10" t="n"/>
      <c r="J10" s="10" t="inlineStr">
        <is>
          <t>nur Gebäudeversicherung prüfen</t>
        </is>
      </c>
    </row>
    <row r="11">
      <c r="B11" s="20" t="n">
        <v>6</v>
      </c>
      <c r="C11" s="21" t="inlineStr">
        <is>
          <t>Haftpflicht Gebäude</t>
        </is>
      </c>
      <c r="D11" s="22" t="inlineStr">
        <is>
          <t>Ja</t>
        </is>
      </c>
      <c r="E11" s="23" t="inlineStr">
        <is>
          <t>Ja</t>
        </is>
      </c>
      <c r="F11" s="22" t="inlineStr">
        <is>
          <t>Fläche</t>
        </is>
      </c>
      <c r="G11" s="22" t="n"/>
      <c r="H11" s="22" t="inlineStr">
        <is>
          <t>Nein</t>
        </is>
      </c>
      <c r="I11" s="10" t="n"/>
      <c r="J11" s="10" t="n"/>
    </row>
    <row r="12">
      <c r="B12" s="20" t="n">
        <v>7</v>
      </c>
      <c r="C12" s="21" t="inlineStr">
        <is>
          <t>Hausmeister / Facility</t>
        </is>
      </c>
      <c r="D12" s="22" t="inlineStr">
        <is>
          <t>Ja</t>
        </is>
      </c>
      <c r="E12" s="23" t="inlineStr">
        <is>
          <t>Ja</t>
        </is>
      </c>
      <c r="F12" s="22" t="inlineStr">
        <is>
          <t>Fläche</t>
        </is>
      </c>
      <c r="G12" s="22" t="n"/>
      <c r="H12" s="22" t="inlineStr">
        <is>
          <t>Ja</t>
        </is>
      </c>
      <c r="I12" s="10" t="n"/>
      <c r="J12" s="10" t="n"/>
    </row>
    <row r="13">
      <c r="B13" s="20" t="n">
        <v>8</v>
      </c>
      <c r="C13" s="21" t="inlineStr">
        <is>
          <t>Gartenpflege / Außenanlagen</t>
        </is>
      </c>
      <c r="D13" s="22" t="inlineStr">
        <is>
          <t>Ja</t>
        </is>
      </c>
      <c r="E13" s="23" t="inlineStr">
        <is>
          <t>Ja</t>
        </is>
      </c>
      <c r="F13" s="22" t="inlineStr">
        <is>
          <t>Fläche</t>
        </is>
      </c>
      <c r="G13" s="22" t="n"/>
      <c r="H13" s="22" t="inlineStr">
        <is>
          <t>Ja</t>
        </is>
      </c>
      <c r="I13" s="10" t="n"/>
      <c r="J13" s="10" t="n"/>
    </row>
    <row r="14">
      <c r="B14" s="20" t="n">
        <v>9</v>
      </c>
      <c r="C14" s="21" t="inlineStr">
        <is>
          <t>Aufzug Wartung</t>
        </is>
      </c>
      <c r="D14" s="22" t="inlineStr">
        <is>
          <t>Ja</t>
        </is>
      </c>
      <c r="E14" s="23" t="inlineStr">
        <is>
          <t>Ja</t>
        </is>
      </c>
      <c r="F14" s="22" t="inlineStr">
        <is>
          <t>Fläche</t>
        </is>
      </c>
      <c r="G14" s="22" t="n"/>
      <c r="H14" s="22" t="inlineStr">
        <is>
          <t>Ja</t>
        </is>
      </c>
      <c r="I14" s="10" t="n"/>
      <c r="J14" s="10" t="inlineStr">
        <is>
          <t>Wartung ≠ Reparatur</t>
        </is>
      </c>
    </row>
    <row r="15">
      <c r="B15" s="20" t="n">
        <v>10</v>
      </c>
      <c r="C15" s="21" t="inlineStr">
        <is>
          <t>Aufzug Instandsetzung</t>
        </is>
      </c>
      <c r="D15" s="22" t="inlineStr">
        <is>
          <t>Nein</t>
        </is>
      </c>
      <c r="E15" s="24" t="inlineStr">
        <is>
          <t>Nein</t>
        </is>
      </c>
      <c r="F15" s="22" t="inlineStr">
        <is>
          <t>—</t>
        </is>
      </c>
      <c r="G15" s="22" t="n"/>
      <c r="H15" s="22" t="inlineStr">
        <is>
          <t>Ja</t>
        </is>
      </c>
      <c r="I15" s="10" t="n"/>
      <c r="J15" s="10" t="inlineStr">
        <is>
          <t>oft nicht / nur mit Obergrenze</t>
        </is>
      </c>
    </row>
    <row r="16">
      <c r="B16" s="20" t="n">
        <v>11</v>
      </c>
      <c r="C16" s="21" t="inlineStr">
        <is>
          <t>Klima- / Lüftungsanlage Wartung</t>
        </is>
      </c>
      <c r="D16" s="22" t="inlineStr">
        <is>
          <t>Ja</t>
        </is>
      </c>
      <c r="E16" s="23" t="inlineStr">
        <is>
          <t>Ja</t>
        </is>
      </c>
      <c r="F16" s="22" t="inlineStr">
        <is>
          <t>Fläche</t>
        </is>
      </c>
      <c r="G16" s="22" t="n"/>
      <c r="H16" s="22" t="inlineStr">
        <is>
          <t>Ja</t>
        </is>
      </c>
      <c r="I16" s="10" t="n"/>
      <c r="J16" s="10" t="inlineStr">
        <is>
          <t>explizit benennen</t>
        </is>
      </c>
    </row>
    <row r="17">
      <c r="B17" s="20" t="n">
        <v>12</v>
      </c>
      <c r="C17" s="21" t="inlineStr">
        <is>
          <t>Brandschutz / Sicherheitstechnik</t>
        </is>
      </c>
      <c r="D17" s="22" t="inlineStr">
        <is>
          <t>Ja</t>
        </is>
      </c>
      <c r="E17" s="23" t="inlineStr">
        <is>
          <t>Ja</t>
        </is>
      </c>
      <c r="F17" s="22" t="inlineStr">
        <is>
          <t>Fläche</t>
        </is>
      </c>
      <c r="G17" s="22" t="n"/>
      <c r="H17" s="22" t="inlineStr">
        <is>
          <t>Ja</t>
        </is>
      </c>
      <c r="I17" s="10" t="n"/>
      <c r="J17" s="10" t="n"/>
    </row>
    <row r="18">
      <c r="B18" s="20" t="n">
        <v>13</v>
      </c>
      <c r="C18" s="21" t="inlineStr">
        <is>
          <t>Sicherheit / Bewachung</t>
        </is>
      </c>
      <c r="D18" s="22" t="inlineStr">
        <is>
          <t>Ja</t>
        </is>
      </c>
      <c r="E18" s="23" t="inlineStr">
        <is>
          <t>Ja</t>
        </is>
      </c>
      <c r="F18" s="22" t="inlineStr">
        <is>
          <t>Fläche</t>
        </is>
      </c>
      <c r="G18" s="22" t="n"/>
      <c r="H18" s="22" t="inlineStr">
        <is>
          <t>Ja</t>
        </is>
      </c>
      <c r="I18" s="10" t="n"/>
      <c r="J18" s="10" t="n"/>
    </row>
    <row r="19">
      <c r="B19" s="20" t="n">
        <v>14</v>
      </c>
      <c r="C19" s="21" t="inlineStr">
        <is>
          <t>Reinigung Gemeinschaftsflächen</t>
        </is>
      </c>
      <c r="D19" s="22" t="inlineStr">
        <is>
          <t>Ja</t>
        </is>
      </c>
      <c r="E19" s="23" t="inlineStr">
        <is>
          <t>Ja</t>
        </is>
      </c>
      <c r="F19" s="22" t="inlineStr">
        <is>
          <t>Fläche</t>
        </is>
      </c>
      <c r="G19" s="22" t="n"/>
      <c r="H19" s="22" t="inlineStr">
        <is>
          <t>Ja</t>
        </is>
      </c>
      <c r="I19" s="10" t="n"/>
      <c r="J19" s="10" t="n"/>
    </row>
    <row r="20">
      <c r="B20" s="20" t="n">
        <v>15</v>
      </c>
      <c r="C20" s="21" t="inlineStr">
        <is>
          <t>Beleuchtung Allgemein</t>
        </is>
      </c>
      <c r="D20" s="22" t="inlineStr">
        <is>
          <t>Ja</t>
        </is>
      </c>
      <c r="E20" s="23" t="inlineStr">
        <is>
          <t>Ja</t>
        </is>
      </c>
      <c r="F20" s="22" t="inlineStr">
        <is>
          <t>Fläche</t>
        </is>
      </c>
      <c r="G20" s="22" t="n"/>
      <c r="H20" s="22" t="inlineStr">
        <is>
          <t>Ja</t>
        </is>
      </c>
      <c r="I20" s="10" t="n"/>
      <c r="J20" s="10" t="n"/>
    </row>
    <row r="21">
      <c r="B21" s="20" t="n">
        <v>16</v>
      </c>
      <c r="C21" s="21" t="inlineStr">
        <is>
          <t>Niederschlagswasser</t>
        </is>
      </c>
      <c r="D21" s="22" t="inlineStr">
        <is>
          <t>Ja</t>
        </is>
      </c>
      <c r="E21" s="23" t="inlineStr">
        <is>
          <t>Ja</t>
        </is>
      </c>
      <c r="F21" s="22" t="inlineStr">
        <is>
          <t>Fläche</t>
        </is>
      </c>
      <c r="G21" s="22" t="n"/>
      <c r="H21" s="22" t="inlineStr">
        <is>
          <t>Nein</t>
        </is>
      </c>
      <c r="I21" s="10" t="n"/>
      <c r="J21" s="10" t="n"/>
    </row>
    <row r="22">
      <c r="B22" s="20" t="n">
        <v>17</v>
      </c>
      <c r="C22" s="21" t="inlineStr">
        <is>
          <t>Verwaltungskosten</t>
        </is>
      </c>
      <c r="D22" s="22" t="inlineStr">
        <is>
          <t>Ja</t>
        </is>
      </c>
      <c r="E22" s="23" t="inlineStr">
        <is>
          <t>Ja</t>
        </is>
      </c>
      <c r="F22" s="22" t="inlineStr">
        <is>
          <t>Fläche</t>
        </is>
      </c>
      <c r="G22" s="22" t="n"/>
      <c r="H22" s="22" t="inlineStr">
        <is>
          <t>Ja</t>
        </is>
      </c>
      <c r="I22" s="10" t="inlineStr">
        <is>
          <t>explizit im Vertrag?</t>
        </is>
      </c>
      <c r="J22" s="10" t="inlineStr">
        <is>
          <t>nur bei klarer Vereinbarung</t>
        </is>
      </c>
    </row>
    <row r="23">
      <c r="B23" s="20" t="n">
        <v>18</v>
      </c>
      <c r="C23" s="21" t="inlineStr">
        <is>
          <t>Werbegemeinschaft / Center-Umlage</t>
        </is>
      </c>
      <c r="D23" s="22" t="inlineStr">
        <is>
          <t>Nein</t>
        </is>
      </c>
      <c r="E23" s="24" t="inlineStr">
        <is>
          <t>Nein</t>
        </is>
      </c>
      <c r="F23" s="22" t="inlineStr">
        <is>
          <t>—</t>
        </is>
      </c>
      <c r="G23" s="22" t="n"/>
      <c r="H23" s="22" t="inlineStr">
        <is>
          <t>Ja</t>
        </is>
      </c>
      <c r="I23" s="10" t="n"/>
      <c r="J23" s="10" t="inlineStr">
        <is>
          <t>nur wenn vereinbart</t>
        </is>
      </c>
    </row>
    <row r="24">
      <c r="B24" s="20" t="n">
        <v>19</v>
      </c>
      <c r="C24" s="21" t="inlineStr">
        <is>
          <t>Instandhaltung pauschal</t>
        </is>
      </c>
      <c r="D24" s="22" t="inlineStr">
        <is>
          <t>Nein</t>
        </is>
      </c>
      <c r="E24" s="24" t="inlineStr">
        <is>
          <t>Nein</t>
        </is>
      </c>
      <c r="F24" s="22" t="inlineStr">
        <is>
          <t>—</t>
        </is>
      </c>
      <c r="G24" s="22" t="n"/>
      <c r="H24" s="22" t="inlineStr">
        <is>
          <t>Ja</t>
        </is>
      </c>
      <c r="I24" s="10" t="n"/>
      <c r="J24" s="10" t="inlineStr">
        <is>
          <t>AGB-Risiko – Obergrenze prüfen</t>
        </is>
      </c>
    </row>
    <row r="25">
      <c r="B25" s="20" t="n">
        <v>20</v>
      </c>
      <c r="C25" s="21" t="inlineStr">
        <is>
          <t>Schornstein / Kehrgebühren</t>
        </is>
      </c>
      <c r="D25" s="22" t="inlineStr">
        <is>
          <t>Ja</t>
        </is>
      </c>
      <c r="E25" s="23" t="inlineStr">
        <is>
          <t>Ja</t>
        </is>
      </c>
      <c r="F25" s="22" t="inlineStr">
        <is>
          <t>Fläche</t>
        </is>
      </c>
      <c r="G25" s="22" t="n"/>
      <c r="H25" s="22" t="inlineStr">
        <is>
          <t>Nein</t>
        </is>
      </c>
      <c r="I25" s="10" t="n"/>
      <c r="J25" s="10" t="n"/>
    </row>
    <row r="26">
      <c r="B26" s="20" t="n">
        <v>21</v>
      </c>
      <c r="C26" s="21" t="inlineStr">
        <is>
          <t>Kabel / TV / Daten Gemeinschaft</t>
        </is>
      </c>
      <c r="D26" s="22" t="inlineStr">
        <is>
          <t>Nein</t>
        </is>
      </c>
      <c r="E26" s="24" t="inlineStr">
        <is>
          <t>Nein</t>
        </is>
      </c>
      <c r="F26" s="22" t="inlineStr">
        <is>
          <t>—</t>
        </is>
      </c>
      <c r="G26" s="22" t="n"/>
      <c r="H26" s="22" t="inlineStr">
        <is>
          <t>Ja</t>
        </is>
      </c>
      <c r="I26" s="10" t="n"/>
      <c r="J26" s="10" t="n"/>
    </row>
    <row r="27">
      <c r="B27" s="20" t="n">
        <v>22</v>
      </c>
      <c r="C27" s="21" t="inlineStr">
        <is>
          <t>WEG-Hausgeld umlagefähiger Anteil</t>
        </is>
      </c>
      <c r="D27" s="22" t="inlineStr">
        <is>
          <t>Ja</t>
        </is>
      </c>
      <c r="E27" s="23" t="inlineStr">
        <is>
          <t>Ja</t>
        </is>
      </c>
      <c r="F27" s="22" t="inlineStr">
        <is>
          <t>Fläche</t>
        </is>
      </c>
      <c r="G27" s="22" t="n"/>
      <c r="H27" s="22" t="inlineStr">
        <is>
          <t>Nein</t>
        </is>
      </c>
      <c r="I27" s="10" t="inlineStr">
        <is>
          <t>WEG-Abrechnung splitten</t>
        </is>
      </c>
      <c r="J27" s="10" t="inlineStr">
        <is>
          <t>nicht 1:1 alles umlegen</t>
        </is>
      </c>
    </row>
    <row r="28">
      <c r="B28" s="20" t="n">
        <v>23</v>
      </c>
      <c r="C28" s="21" t="inlineStr">
        <is>
          <t>Leerstandsanteil</t>
        </is>
      </c>
      <c r="D28" s="22" t="inlineStr">
        <is>
          <t>—</t>
        </is>
      </c>
      <c r="E28" s="24" t="inlineStr">
        <is>
          <t>Nein</t>
        </is>
      </c>
      <c r="F28" s="22" t="inlineStr">
        <is>
          <t>—</t>
        </is>
      </c>
      <c r="G28" s="22" t="n"/>
      <c r="H28" s="22" t="inlineStr">
        <is>
          <t>—</t>
        </is>
      </c>
      <c r="I28" s="10" t="n"/>
      <c r="J28" s="10" t="inlineStr">
        <is>
          <t>trägt Vermieter</t>
        </is>
      </c>
    </row>
    <row r="29">
      <c r="B29" s="20" t="n">
        <v>24</v>
      </c>
      <c r="C29" s="21" t="inlineStr">
        <is>
          <t>Finanzierung / Zinsen / AfA</t>
        </is>
      </c>
      <c r="D29" s="22" t="inlineStr">
        <is>
          <t>—</t>
        </is>
      </c>
      <c r="E29" s="24" t="inlineStr">
        <is>
          <t>Nein</t>
        </is>
      </c>
      <c r="F29" s="22" t="inlineStr">
        <is>
          <t>—</t>
        </is>
      </c>
      <c r="G29" s="22" t="n"/>
      <c r="H29" s="22" t="inlineStr">
        <is>
          <t>—</t>
        </is>
      </c>
      <c r="I29" s="10" t="n"/>
      <c r="J29" s="10" t="inlineStr">
        <is>
          <t>nie Betriebskosten</t>
        </is>
      </c>
    </row>
    <row r="31">
      <c r="B31" s="2" t="inlineStr">
        <is>
          <t>Leere Zeilen darunter für weitere vertragliche Positionen nutzen. Nach Vertragsprüfung anpassen.</t>
        </is>
      </c>
    </row>
    <row r="32"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</row>
    <row r="33"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</row>
    <row r="34"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</row>
    <row r="35"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</row>
    <row r="36"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</row>
  </sheetData>
  <autoFilter ref="B5:J40"/>
  <mergeCells count="1">
    <mergeCell ref="B31:J31"/>
  </mergeCells>
  <conditionalFormatting sqref="E6:E50">
    <cfRule type="expression" priority="1" dxfId="0">
      <formula>E6="Ja"</formula>
    </cfRule>
    <cfRule type="expression" priority="2" dxfId="1">
      <formula>E6="Nein"</formula>
    </cfRule>
  </conditionalFormatting>
  <dataValidations count="3">
    <dataValidation sqref="D6:E50" showDropDown="0" showInputMessage="0" showErrorMessage="0" allowBlank="1" type="list">
      <formula1>"Ja,Nein,—"</formula1>
    </dataValidation>
    <dataValidation sqref="F6:F50" showDropDown="0" showInputMessage="0" showErrorMessage="0" allowBlank="1" type="list">
      <formula1>"Fläche,Verbrauch,Nutzerzahl,Mischschlüssel,—,Vertraglich abweichend"</formula1>
    </dataValidation>
    <dataValidation sqref="H6:H50" showDropDown="0" showInputMessage="0" showErrorMessage="0" allowBlank="1" type="list">
      <formula1>"Ja,Nein,—"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4" customWidth="1" min="4" max="4"/>
    <col width="18" customWidth="1" min="5" max="5"/>
    <col width="18" customWidth="1" min="6" max="6"/>
    <col width="18" customWidth="1" min="7" max="7"/>
    <col width="16" customWidth="1" min="8" max="8"/>
    <col width="14" customWidth="1" min="9" max="9"/>
    <col width="28" customWidth="1" min="10" max="10"/>
  </cols>
  <sheetData>
    <row r="2">
      <c r="B2" s="1" t="inlineStr">
        <is>
          <t>Kostenarten – Jahreskosten erfassen</t>
        </is>
      </c>
    </row>
    <row r="3">
      <c r="B3" s="2" t="inlineStr">
        <is>
          <t>Beträge netto eintragen (bei USt-Option). Spalte „Umlagefähig“ mit Vertrags-Matrix abgleichen. Beispielwerte sind vorausgefüllt.</t>
        </is>
      </c>
    </row>
    <row r="5" ht="36" customHeight="1">
      <c r="B5" s="19" t="inlineStr">
        <is>
          <t>Nr</t>
        </is>
      </c>
      <c r="C5" s="19" t="inlineStr">
        <is>
          <t>Kostenart</t>
        </is>
      </c>
      <c r="D5" s="19" t="inlineStr">
        <is>
          <t>Umlagefähig?</t>
        </is>
      </c>
      <c r="E5" s="19" t="inlineStr">
        <is>
          <t>Gesamtkosten netto €</t>
        </is>
      </c>
      <c r="F5" s="19" t="inlineStr">
        <is>
          <t>davon nicht umlagefähig €</t>
        </is>
      </c>
      <c r="G5" s="19" t="inlineStr">
        <is>
          <t>Umlagefähiger Betrag €</t>
        </is>
      </c>
      <c r="H5" s="19" t="inlineStr">
        <is>
          <t>Schlüssel</t>
        </is>
      </c>
      <c r="I5" s="19" t="inlineStr">
        <is>
          <t>Anteil % / Faktor</t>
        </is>
      </c>
      <c r="J5" s="19" t="inlineStr">
        <is>
          <t>Beleg / Rechnung</t>
        </is>
      </c>
    </row>
    <row r="6">
      <c r="B6" s="20" t="n">
        <v>1</v>
      </c>
      <c r="C6" s="26" t="inlineStr">
        <is>
          <t>Grundsteuer</t>
        </is>
      </c>
      <c r="D6" s="23" t="inlineStr">
        <is>
          <t>Ja</t>
        </is>
      </c>
      <c r="E6" s="27" t="n">
        <v>4800</v>
      </c>
      <c r="F6" s="27" t="n">
        <v>0</v>
      </c>
      <c r="G6" s="17">
        <f>IF(D6="Ja",MAX(0,E6-F6),0)</f>
        <v/>
      </c>
      <c r="H6" s="22" t="inlineStr">
        <is>
          <t>Fläche</t>
        </is>
      </c>
      <c r="I6" s="16">
        <f>IF(H6="Fläche",Stammdaten!C20,0)</f>
        <v/>
      </c>
      <c r="J6" s="25" t="inlineStr"/>
    </row>
    <row r="7">
      <c r="B7" s="20" t="n">
        <v>2</v>
      </c>
      <c r="C7" s="26" t="inlineStr">
        <is>
          <t>Wasser / Abwasser</t>
        </is>
      </c>
      <c r="D7" s="23" t="inlineStr">
        <is>
          <t>Ja</t>
        </is>
      </c>
      <c r="E7" s="27" t="n">
        <v>3200</v>
      </c>
      <c r="F7" s="27" t="n">
        <v>0</v>
      </c>
      <c r="G7" s="17">
        <f>IF(D7="Ja",MAX(0,E7-F7),0)</f>
        <v/>
      </c>
      <c r="H7" s="22" t="inlineStr">
        <is>
          <t>Verbrauch</t>
        </is>
      </c>
      <c r="I7" s="28" t="n">
        <v>0.18</v>
      </c>
      <c r="J7" s="25" t="inlineStr"/>
    </row>
    <row r="8">
      <c r="B8" s="20" t="n">
        <v>3</v>
      </c>
      <c r="C8" s="26" t="inlineStr">
        <is>
          <t>Heizung / Warmwasser</t>
        </is>
      </c>
      <c r="D8" s="23" t="inlineStr">
        <is>
          <t>Ja</t>
        </is>
      </c>
      <c r="E8" s="27" t="n">
        <v>14500</v>
      </c>
      <c r="F8" s="27" t="n">
        <v>0</v>
      </c>
      <c r="G8" s="17">
        <f>IF(D8="Ja",MAX(0,E8-F8),0)</f>
        <v/>
      </c>
      <c r="H8" s="22" t="inlineStr">
        <is>
          <t>Verbrauch</t>
        </is>
      </c>
      <c r="I8" s="28" t="n">
        <v>0.18</v>
      </c>
      <c r="J8" s="25" t="inlineStr"/>
    </row>
    <row r="9">
      <c r="B9" s="20" t="n">
        <v>4</v>
      </c>
      <c r="C9" s="26" t="inlineStr">
        <is>
          <t>Straßenreinigung / Müll</t>
        </is>
      </c>
      <c r="D9" s="23" t="inlineStr">
        <is>
          <t>Ja</t>
        </is>
      </c>
      <c r="E9" s="27" t="n">
        <v>2100</v>
      </c>
      <c r="F9" s="27" t="n">
        <v>0</v>
      </c>
      <c r="G9" s="17">
        <f>IF(D9="Ja",MAX(0,E9-F9),0)</f>
        <v/>
      </c>
      <c r="H9" s="22" t="inlineStr">
        <is>
          <t>Fläche</t>
        </is>
      </c>
      <c r="I9" s="16">
        <f>IF(H9="Fläche",Stammdaten!C20,0)</f>
        <v/>
      </c>
      <c r="J9" s="25" t="inlineStr"/>
    </row>
    <row r="10">
      <c r="B10" s="20" t="n">
        <v>5</v>
      </c>
      <c r="C10" s="26" t="inlineStr">
        <is>
          <t>Gebäudeversicherung</t>
        </is>
      </c>
      <c r="D10" s="23" t="inlineStr">
        <is>
          <t>Ja</t>
        </is>
      </c>
      <c r="E10" s="27" t="n">
        <v>3600</v>
      </c>
      <c r="F10" s="27" t="n">
        <v>0</v>
      </c>
      <c r="G10" s="17">
        <f>IF(D10="Ja",MAX(0,E10-F10),0)</f>
        <v/>
      </c>
      <c r="H10" s="22" t="inlineStr">
        <is>
          <t>Fläche</t>
        </is>
      </c>
      <c r="I10" s="16">
        <f>IF(H10="Fläche",Stammdaten!C20,0)</f>
        <v/>
      </c>
      <c r="J10" s="25" t="inlineStr"/>
    </row>
    <row r="11">
      <c r="B11" s="20" t="n">
        <v>6</v>
      </c>
      <c r="C11" s="26" t="inlineStr">
        <is>
          <t>Haftpflicht Gebäude</t>
        </is>
      </c>
      <c r="D11" s="23" t="inlineStr">
        <is>
          <t>Ja</t>
        </is>
      </c>
      <c r="E11" s="27" t="n">
        <v>900</v>
      </c>
      <c r="F11" s="27" t="n">
        <v>0</v>
      </c>
      <c r="G11" s="17">
        <f>IF(D11="Ja",MAX(0,E11-F11),0)</f>
        <v/>
      </c>
      <c r="H11" s="22" t="inlineStr">
        <is>
          <t>Fläche</t>
        </is>
      </c>
      <c r="I11" s="16">
        <f>IF(H11="Fläche",Stammdaten!C20,0)</f>
        <v/>
      </c>
      <c r="J11" s="25" t="inlineStr"/>
    </row>
    <row r="12">
      <c r="B12" s="20" t="n">
        <v>7</v>
      </c>
      <c r="C12" s="26" t="inlineStr">
        <is>
          <t>Hausmeister / Facility</t>
        </is>
      </c>
      <c r="D12" s="23" t="inlineStr">
        <is>
          <t>Ja</t>
        </is>
      </c>
      <c r="E12" s="27" t="n">
        <v>8400</v>
      </c>
      <c r="F12" s="27" t="n">
        <v>0</v>
      </c>
      <c r="G12" s="17">
        <f>IF(D12="Ja",MAX(0,E12-F12),0)</f>
        <v/>
      </c>
      <c r="H12" s="22" t="inlineStr">
        <is>
          <t>Fläche</t>
        </is>
      </c>
      <c r="I12" s="16">
        <f>IF(H12="Fläche",Stammdaten!C20,0)</f>
        <v/>
      </c>
      <c r="J12" s="25" t="inlineStr"/>
    </row>
    <row r="13">
      <c r="B13" s="20" t="n">
        <v>8</v>
      </c>
      <c r="C13" s="26" t="inlineStr">
        <is>
          <t>Gartenpflege / Außenanlagen</t>
        </is>
      </c>
      <c r="D13" s="23" t="inlineStr">
        <is>
          <t>Ja</t>
        </is>
      </c>
      <c r="E13" s="27" t="n">
        <v>1800</v>
      </c>
      <c r="F13" s="27" t="n">
        <v>0</v>
      </c>
      <c r="G13" s="17">
        <f>IF(D13="Ja",MAX(0,E13-F13),0)</f>
        <v/>
      </c>
      <c r="H13" s="22" t="inlineStr">
        <is>
          <t>Fläche</t>
        </is>
      </c>
      <c r="I13" s="16">
        <f>IF(H13="Fläche",Stammdaten!C20,0)</f>
        <v/>
      </c>
      <c r="J13" s="25" t="inlineStr"/>
    </row>
    <row r="14">
      <c r="B14" s="20" t="n">
        <v>9</v>
      </c>
      <c r="C14" s="26" t="inlineStr">
        <is>
          <t>Aufzug Wartung</t>
        </is>
      </c>
      <c r="D14" s="23" t="inlineStr">
        <is>
          <t>Ja</t>
        </is>
      </c>
      <c r="E14" s="27" t="n">
        <v>2400</v>
      </c>
      <c r="F14" s="27" t="n">
        <v>0</v>
      </c>
      <c r="G14" s="17">
        <f>IF(D14="Ja",MAX(0,E14-F14),0)</f>
        <v/>
      </c>
      <c r="H14" s="22" t="inlineStr">
        <is>
          <t>Fläche</t>
        </is>
      </c>
      <c r="I14" s="16">
        <f>IF(H14="Fläche",Stammdaten!C20,0)</f>
        <v/>
      </c>
      <c r="J14" s="25" t="inlineStr"/>
    </row>
    <row r="15">
      <c r="B15" s="20" t="n">
        <v>10</v>
      </c>
      <c r="C15" s="26" t="inlineStr">
        <is>
          <t>Aufzug Instandsetzung</t>
        </is>
      </c>
      <c r="D15" s="24" t="inlineStr">
        <is>
          <t>Nein</t>
        </is>
      </c>
      <c r="E15" s="27" t="n">
        <v>0</v>
      </c>
      <c r="F15" s="27" t="n">
        <v>0</v>
      </c>
      <c r="G15" s="17">
        <f>IF(D15="Ja",MAX(0,E15-F15),0)</f>
        <v/>
      </c>
      <c r="H15" s="22" t="inlineStr">
        <is>
          <t>Fläche</t>
        </is>
      </c>
      <c r="I15" s="16" t="n">
        <v>0</v>
      </c>
      <c r="J15" s="25" t="inlineStr"/>
    </row>
    <row r="16">
      <c r="B16" s="20" t="n">
        <v>11</v>
      </c>
      <c r="C16" s="26" t="inlineStr">
        <is>
          <t>Klima- / Lüftungsanlage Wartung</t>
        </is>
      </c>
      <c r="D16" s="23" t="inlineStr">
        <is>
          <t>Ja</t>
        </is>
      </c>
      <c r="E16" s="27" t="n">
        <v>3100</v>
      </c>
      <c r="F16" s="27" t="n">
        <v>0</v>
      </c>
      <c r="G16" s="17">
        <f>IF(D16="Ja",MAX(0,E16-F16),0)</f>
        <v/>
      </c>
      <c r="H16" s="22" t="inlineStr">
        <is>
          <t>Fläche</t>
        </is>
      </c>
      <c r="I16" s="16">
        <f>IF(H16="Fläche",Stammdaten!C20,0)</f>
        <v/>
      </c>
      <c r="J16" s="25" t="inlineStr"/>
    </row>
    <row r="17">
      <c r="B17" s="20" t="n">
        <v>12</v>
      </c>
      <c r="C17" s="26" t="inlineStr">
        <is>
          <t>Brandschutz / Sicherheitstechnik</t>
        </is>
      </c>
      <c r="D17" s="23" t="inlineStr">
        <is>
          <t>Ja</t>
        </is>
      </c>
      <c r="E17" s="27" t="n">
        <v>1500</v>
      </c>
      <c r="F17" s="27" t="n">
        <v>0</v>
      </c>
      <c r="G17" s="17">
        <f>IF(D17="Ja",MAX(0,E17-F17),0)</f>
        <v/>
      </c>
      <c r="H17" s="22" t="inlineStr">
        <is>
          <t>Fläche</t>
        </is>
      </c>
      <c r="I17" s="16">
        <f>IF(H17="Fläche",Stammdaten!C20,0)</f>
        <v/>
      </c>
      <c r="J17" s="25" t="inlineStr"/>
    </row>
    <row r="18">
      <c r="B18" s="20" t="n">
        <v>13</v>
      </c>
      <c r="C18" s="26" t="inlineStr">
        <is>
          <t>Sicherheit / Bewachung</t>
        </is>
      </c>
      <c r="D18" s="23" t="inlineStr">
        <is>
          <t>Ja</t>
        </is>
      </c>
      <c r="E18" s="27" t="n">
        <v>6000</v>
      </c>
      <c r="F18" s="27" t="n">
        <v>0</v>
      </c>
      <c r="G18" s="17">
        <f>IF(D18="Ja",MAX(0,E18-F18),0)</f>
        <v/>
      </c>
      <c r="H18" s="22" t="inlineStr">
        <is>
          <t>Fläche</t>
        </is>
      </c>
      <c r="I18" s="16">
        <f>IF(H18="Fläche",Stammdaten!C20,0)</f>
        <v/>
      </c>
      <c r="J18" s="25" t="inlineStr"/>
    </row>
    <row r="19">
      <c r="B19" s="20" t="n">
        <v>14</v>
      </c>
      <c r="C19" s="26" t="inlineStr">
        <is>
          <t>Reinigung Gemeinschaftsflächen</t>
        </is>
      </c>
      <c r="D19" s="23" t="inlineStr">
        <is>
          <t>Ja</t>
        </is>
      </c>
      <c r="E19" s="27" t="n">
        <v>4800</v>
      </c>
      <c r="F19" s="27" t="n">
        <v>0</v>
      </c>
      <c r="G19" s="17">
        <f>IF(D19="Ja",MAX(0,E19-F19),0)</f>
        <v/>
      </c>
      <c r="H19" s="22" t="inlineStr">
        <is>
          <t>Fläche</t>
        </is>
      </c>
      <c r="I19" s="16">
        <f>IF(H19="Fläche",Stammdaten!C20,0)</f>
        <v/>
      </c>
      <c r="J19" s="25" t="inlineStr"/>
    </row>
    <row r="20">
      <c r="B20" s="20" t="n">
        <v>15</v>
      </c>
      <c r="C20" s="26" t="inlineStr">
        <is>
          <t>Beleuchtung Allgemein</t>
        </is>
      </c>
      <c r="D20" s="23" t="inlineStr">
        <is>
          <t>Ja</t>
        </is>
      </c>
      <c r="E20" s="27" t="n">
        <v>2200</v>
      </c>
      <c r="F20" s="27" t="n">
        <v>0</v>
      </c>
      <c r="G20" s="17">
        <f>IF(D20="Ja",MAX(0,E20-F20),0)</f>
        <v/>
      </c>
      <c r="H20" s="22" t="inlineStr">
        <is>
          <t>Fläche</t>
        </is>
      </c>
      <c r="I20" s="16">
        <f>IF(H20="Fläche",Stammdaten!C20,0)</f>
        <v/>
      </c>
      <c r="J20" s="25" t="inlineStr"/>
    </row>
    <row r="21">
      <c r="B21" s="20" t="n">
        <v>16</v>
      </c>
      <c r="C21" s="26" t="inlineStr">
        <is>
          <t>Niederschlagswasser</t>
        </is>
      </c>
      <c r="D21" s="23" t="inlineStr">
        <is>
          <t>Ja</t>
        </is>
      </c>
      <c r="E21" s="27" t="n">
        <v>700</v>
      </c>
      <c r="F21" s="27" t="n">
        <v>0</v>
      </c>
      <c r="G21" s="17">
        <f>IF(D21="Ja",MAX(0,E21-F21),0)</f>
        <v/>
      </c>
      <c r="H21" s="22" t="inlineStr">
        <is>
          <t>Fläche</t>
        </is>
      </c>
      <c r="I21" s="16">
        <f>IF(H21="Fläche",Stammdaten!C20,0)</f>
        <v/>
      </c>
      <c r="J21" s="25" t="inlineStr"/>
    </row>
    <row r="22">
      <c r="B22" s="20" t="n">
        <v>17</v>
      </c>
      <c r="C22" s="26" t="inlineStr">
        <is>
          <t>Verwaltungskosten</t>
        </is>
      </c>
      <c r="D22" s="23" t="inlineStr">
        <is>
          <t>Ja</t>
        </is>
      </c>
      <c r="E22" s="27" t="n">
        <v>4200</v>
      </c>
      <c r="F22" s="27" t="n">
        <v>0</v>
      </c>
      <c r="G22" s="17">
        <f>IF(D22="Ja",MAX(0,E22-F22),0)</f>
        <v/>
      </c>
      <c r="H22" s="22" t="inlineStr">
        <is>
          <t>Fläche</t>
        </is>
      </c>
      <c r="I22" s="16">
        <f>IF(H22="Fläche",Stammdaten!C20,0)</f>
        <v/>
      </c>
      <c r="J22" s="25" t="inlineStr"/>
    </row>
    <row r="23">
      <c r="B23" s="20" t="n">
        <v>18</v>
      </c>
      <c r="C23" s="26" t="inlineStr">
        <is>
          <t>Werbegemeinschaft / Center-Umlage</t>
        </is>
      </c>
      <c r="D23" s="24" t="inlineStr">
        <is>
          <t>Nein</t>
        </is>
      </c>
      <c r="E23" s="27" t="n">
        <v>0</v>
      </c>
      <c r="F23" s="27" t="n">
        <v>0</v>
      </c>
      <c r="G23" s="17">
        <f>IF(D23="Ja",MAX(0,E23-F23),0)</f>
        <v/>
      </c>
      <c r="H23" s="22" t="inlineStr">
        <is>
          <t>Fläche</t>
        </is>
      </c>
      <c r="I23" s="16" t="n">
        <v>0</v>
      </c>
      <c r="J23" s="25" t="inlineStr"/>
    </row>
    <row r="24">
      <c r="B24" s="20" t="n">
        <v>19</v>
      </c>
      <c r="C24" s="26" t="inlineStr">
        <is>
          <t>Instandhaltung pauschal</t>
        </is>
      </c>
      <c r="D24" s="24" t="inlineStr">
        <is>
          <t>Nein</t>
        </is>
      </c>
      <c r="E24" s="27" t="n">
        <v>0</v>
      </c>
      <c r="F24" s="27" t="n">
        <v>0</v>
      </c>
      <c r="G24" s="17">
        <f>IF(D24="Ja",MAX(0,E24-F24),0)</f>
        <v/>
      </c>
      <c r="H24" s="22" t="inlineStr">
        <is>
          <t>Fläche</t>
        </is>
      </c>
      <c r="I24" s="16" t="n">
        <v>0</v>
      </c>
      <c r="J24" s="25" t="inlineStr"/>
    </row>
    <row r="25">
      <c r="B25" s="20" t="n">
        <v>20</v>
      </c>
      <c r="C25" s="26" t="inlineStr">
        <is>
          <t>Schornstein / Kehrgebühren</t>
        </is>
      </c>
      <c r="D25" s="23" t="inlineStr">
        <is>
          <t>Ja</t>
        </is>
      </c>
      <c r="E25" s="27" t="n">
        <v>350</v>
      </c>
      <c r="F25" s="27" t="n">
        <v>0</v>
      </c>
      <c r="G25" s="17">
        <f>IF(D25="Ja",MAX(0,E25-F25),0)</f>
        <v/>
      </c>
      <c r="H25" s="22" t="inlineStr">
        <is>
          <t>Fläche</t>
        </is>
      </c>
      <c r="I25" s="16">
        <f>IF(H25="Fläche",Stammdaten!C20,0)</f>
        <v/>
      </c>
      <c r="J25" s="25" t="inlineStr"/>
    </row>
    <row r="26">
      <c r="B26" s="20" t="n">
        <v>21</v>
      </c>
      <c r="C26" s="26" t="inlineStr">
        <is>
          <t>Kabel / TV / Daten Gemeinschaft</t>
        </is>
      </c>
      <c r="D26" s="24" t="inlineStr">
        <is>
          <t>Nein</t>
        </is>
      </c>
      <c r="E26" s="27" t="n">
        <v>0</v>
      </c>
      <c r="F26" s="27" t="n">
        <v>0</v>
      </c>
      <c r="G26" s="17">
        <f>IF(D26="Ja",MAX(0,E26-F26),0)</f>
        <v/>
      </c>
      <c r="H26" s="22" t="inlineStr">
        <is>
          <t>Fläche</t>
        </is>
      </c>
      <c r="I26" s="16" t="n">
        <v>0</v>
      </c>
      <c r="J26" s="25" t="inlineStr"/>
    </row>
    <row r="27">
      <c r="B27" s="20" t="n">
        <v>22</v>
      </c>
      <c r="C27" s="26" t="inlineStr">
        <is>
          <t>WEG-Hausgeld umlagefähiger Anteil</t>
        </is>
      </c>
      <c r="D27" s="23" t="inlineStr">
        <is>
          <t>Ja</t>
        </is>
      </c>
      <c r="E27" s="27" t="n">
        <v>9600</v>
      </c>
      <c r="F27" s="27" t="n">
        <v>0</v>
      </c>
      <c r="G27" s="17">
        <f>IF(D27="Ja",MAX(0,E27-F27),0)</f>
        <v/>
      </c>
      <c r="H27" s="22" t="inlineStr">
        <is>
          <t>Fläche</t>
        </is>
      </c>
      <c r="I27" s="16">
        <f>IF(H27="Fläche",Stammdaten!C20,0)</f>
        <v/>
      </c>
      <c r="J27" s="25" t="inlineStr"/>
    </row>
    <row r="28">
      <c r="B28" s="20" t="n">
        <v>23</v>
      </c>
      <c r="C28" s="26" t="inlineStr">
        <is>
          <t>Leerstandsanteil</t>
        </is>
      </c>
      <c r="D28" s="24" t="inlineStr">
        <is>
          <t>Nein</t>
        </is>
      </c>
      <c r="E28" s="27" t="n">
        <v>0</v>
      </c>
      <c r="F28" s="27" t="n">
        <v>0</v>
      </c>
      <c r="G28" s="17">
        <f>IF(D28="Ja",MAX(0,E28-F28),0)</f>
        <v/>
      </c>
      <c r="H28" s="22" t="inlineStr">
        <is>
          <t>Fläche</t>
        </is>
      </c>
      <c r="I28" s="16" t="n">
        <v>0</v>
      </c>
      <c r="J28" s="25" t="inlineStr"/>
    </row>
    <row r="29">
      <c r="B29" s="20" t="n">
        <v>24</v>
      </c>
      <c r="C29" s="26" t="inlineStr">
        <is>
          <t>Finanzierung / Zinsen / AfA</t>
        </is>
      </c>
      <c r="D29" s="24" t="inlineStr">
        <is>
          <t>Nein</t>
        </is>
      </c>
      <c r="E29" s="27" t="n">
        <v>0</v>
      </c>
      <c r="F29" s="27" t="n">
        <v>0</v>
      </c>
      <c r="G29" s="17">
        <f>IF(D29="Ja",MAX(0,E29-F29),0)</f>
        <v/>
      </c>
      <c r="H29" s="22" t="inlineStr">
        <is>
          <t>Fläche</t>
        </is>
      </c>
      <c r="I29" s="16" t="n">
        <v>0</v>
      </c>
      <c r="J29" s="25" t="inlineStr"/>
    </row>
    <row r="30">
      <c r="C30" s="29" t="inlineStr">
        <is>
          <t>SUMME</t>
        </is>
      </c>
      <c r="E30" s="30">
        <f>SUM(E6:E29)</f>
        <v/>
      </c>
      <c r="F30" s="30">
        <f>SUM(F6:F29)</f>
        <v/>
      </c>
      <c r="G30" s="30">
        <f>SUM(G6:G29)</f>
        <v/>
      </c>
    </row>
    <row r="32">
      <c r="B32" s="2" t="inlineStr">
        <is>
          <t>Bei Schlüssel „Verbrauch“ / „Nutzerzahl“ / „Mischschlüssel“: Spalte „Anteil % / Faktor“ manuell setzen (z. B. 0,18 für 18 %). Bei „Fläche“ greift automatisch Stammdaten.</t>
        </is>
      </c>
    </row>
  </sheetData>
  <autoFilter ref="B5:J35"/>
  <mergeCells count="1">
    <mergeCell ref="B32:J32"/>
  </mergeCells>
  <conditionalFormatting sqref="D6:D40">
    <cfRule type="expression" priority="1" dxfId="0">
      <formula>D6="Ja"</formula>
    </cfRule>
    <cfRule type="expression" priority="2" dxfId="1">
      <formula>D6="Nein"</formula>
    </cfRule>
  </conditionalFormatting>
  <dataValidations count="2">
    <dataValidation sqref="D6:D40" showDropDown="0" showInputMessage="0" showErrorMessage="0" allowBlank="1" type="list">
      <formula1>"Ja,Nein"</formula1>
    </dataValidation>
    <dataValidation sqref="H6:H40" showDropDown="0" showInputMessage="0" showErrorMessage="0" allowBlank="1" type="list">
      <formula1>"Fläche,Verbrauch,Nutzerzahl,Mischschlüssel,Vertraglich abweichend"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52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8" customWidth="1" min="4" max="4"/>
    <col width="14" customWidth="1" min="5" max="5"/>
    <col width="12" customWidth="1" min="6" max="6"/>
    <col width="18" customWidth="1" min="7" max="7"/>
    <col width="12" customWidth="1" min="8" max="8"/>
    <col width="14" customWidth="1" min="9" max="9"/>
  </cols>
  <sheetData>
    <row r="2">
      <c r="B2" s="1" t="inlineStr">
        <is>
          <t>Nebenkostenabrechnung Gewerbe</t>
        </is>
      </c>
    </row>
    <row r="3">
      <c r="B3" s="2" t="inlineStr">
        <is>
          <t>Automatisch aus Stammdaten + Kostenarten. Vor Versand prüfen und an den Mieter senden.</t>
        </is>
      </c>
    </row>
    <row r="5">
      <c r="B5" s="15" t="inlineStr">
        <is>
          <t>Objekt</t>
        </is>
      </c>
      <c r="C5" s="31">
        <f>Stammdaten!C5</f>
        <v/>
      </c>
      <c r="D5" s="32" t="n"/>
      <c r="E5" s="33" t="n"/>
    </row>
    <row r="6">
      <c r="B6" s="15" t="inlineStr">
        <is>
          <t>Mieter</t>
        </is>
      </c>
      <c r="C6" s="31">
        <f>Stammdaten!C7</f>
        <v/>
      </c>
      <c r="D6" s="32" t="n"/>
      <c r="E6" s="33" t="n"/>
    </row>
    <row r="7">
      <c r="B7" s="15" t="inlineStr">
        <is>
          <t>Einheit</t>
        </is>
      </c>
      <c r="C7" s="31">
        <f>Stammdaten!C6</f>
        <v/>
      </c>
      <c r="D7" s="32" t="n"/>
      <c r="E7" s="33" t="n"/>
    </row>
    <row r="8">
      <c r="B8" s="15" t="inlineStr">
        <is>
          <t>Zeitraum von</t>
        </is>
      </c>
      <c r="C8" s="34">
        <f>Stammdaten!C9</f>
        <v/>
      </c>
    </row>
    <row r="9">
      <c r="B9" s="15" t="inlineStr">
        <is>
          <t>Zeitraum bis</t>
        </is>
      </c>
      <c r="C9" s="34">
        <f>Stammdaten!C10</f>
        <v/>
      </c>
    </row>
    <row r="10">
      <c r="B10" s="15" t="inlineStr">
        <is>
          <t>Fläche Mieter m²</t>
        </is>
      </c>
      <c r="C10" s="35">
        <f>Stammdaten!C13</f>
        <v/>
      </c>
    </row>
    <row r="11">
      <c r="B11" s="15" t="inlineStr">
        <is>
          <t>Gesamtfläche m²</t>
        </is>
      </c>
      <c r="C11" s="35">
        <f>Stammdaten!C14</f>
        <v/>
      </c>
    </row>
    <row r="12">
      <c r="B12" s="15" t="inlineStr">
        <is>
          <t>Flächenanteil</t>
        </is>
      </c>
      <c r="C12" s="16">
        <f>Stammdaten!C20</f>
        <v/>
      </c>
    </row>
    <row r="13">
      <c r="B13" s="15" t="inlineStr">
        <is>
          <t>USt-Option</t>
        </is>
      </c>
      <c r="C13" s="31">
        <f>Stammdaten!C11</f>
        <v/>
      </c>
    </row>
    <row r="15" ht="32" customHeight="1">
      <c r="B15" s="19" t="inlineStr">
        <is>
          <t>Nr</t>
        </is>
      </c>
      <c r="C15" s="19" t="inlineStr">
        <is>
          <t>Kostenart</t>
        </is>
      </c>
      <c r="D15" s="19" t="inlineStr">
        <is>
          <t>Umlagefähig Gesamt €</t>
        </is>
      </c>
      <c r="E15" s="19" t="inlineStr">
        <is>
          <t>Schlüssel</t>
        </is>
      </c>
      <c r="F15" s="19" t="inlineStr">
        <is>
          <t>Anteil</t>
        </is>
      </c>
      <c r="G15" s="19" t="inlineStr">
        <is>
          <t>Anteil Mieter netto €</t>
        </is>
      </c>
      <c r="H15" s="19" t="inlineStr">
        <is>
          <t>USt €</t>
        </is>
      </c>
      <c r="I15" s="19" t="inlineStr">
        <is>
          <t>Brutto €</t>
        </is>
      </c>
    </row>
    <row r="16">
      <c r="B16" s="20" t="n">
        <v>1</v>
      </c>
      <c r="C16" s="26">
        <f>Kostenarten!C6</f>
        <v/>
      </c>
      <c r="D16" s="17">
        <f>Kostenarten!G6</f>
        <v/>
      </c>
      <c r="E16" s="36">
        <f>Kostenarten!H6</f>
        <v/>
      </c>
      <c r="F16" s="16">
        <f>Kostenarten!I6</f>
        <v/>
      </c>
      <c r="G16" s="17">
        <f>Kostenarten!G6*Kostenarten!I6</f>
        <v/>
      </c>
      <c r="H16" s="17">
        <f>IF(Stammdaten!C11="Ja",G16*Stammdaten!C12,0)</f>
        <v/>
      </c>
      <c r="I16" s="17">
        <f>G16+H16</f>
        <v/>
      </c>
    </row>
    <row r="17">
      <c r="B17" s="20" t="n">
        <v>2</v>
      </c>
      <c r="C17" s="26">
        <f>Kostenarten!C7</f>
        <v/>
      </c>
      <c r="D17" s="17">
        <f>Kostenarten!G7</f>
        <v/>
      </c>
      <c r="E17" s="36">
        <f>Kostenarten!H7</f>
        <v/>
      </c>
      <c r="F17" s="16">
        <f>Kostenarten!I7</f>
        <v/>
      </c>
      <c r="G17" s="17">
        <f>Kostenarten!G7*Kostenarten!I7</f>
        <v/>
      </c>
      <c r="H17" s="17">
        <f>IF(Stammdaten!C11="Ja",G17*Stammdaten!C12,0)</f>
        <v/>
      </c>
      <c r="I17" s="17">
        <f>G17+H17</f>
        <v/>
      </c>
    </row>
    <row r="18">
      <c r="B18" s="20" t="n">
        <v>3</v>
      </c>
      <c r="C18" s="26">
        <f>Kostenarten!C8</f>
        <v/>
      </c>
      <c r="D18" s="17">
        <f>Kostenarten!G8</f>
        <v/>
      </c>
      <c r="E18" s="36">
        <f>Kostenarten!H8</f>
        <v/>
      </c>
      <c r="F18" s="16">
        <f>Kostenarten!I8</f>
        <v/>
      </c>
      <c r="G18" s="17">
        <f>Kostenarten!G8*Kostenarten!I8</f>
        <v/>
      </c>
      <c r="H18" s="17">
        <f>IF(Stammdaten!C11="Ja",G18*Stammdaten!C12,0)</f>
        <v/>
      </c>
      <c r="I18" s="17">
        <f>G18+H18</f>
        <v/>
      </c>
    </row>
    <row r="19">
      <c r="B19" s="20" t="n">
        <v>4</v>
      </c>
      <c r="C19" s="26">
        <f>Kostenarten!C9</f>
        <v/>
      </c>
      <c r="D19" s="17">
        <f>Kostenarten!G9</f>
        <v/>
      </c>
      <c r="E19" s="36">
        <f>Kostenarten!H9</f>
        <v/>
      </c>
      <c r="F19" s="16">
        <f>Kostenarten!I9</f>
        <v/>
      </c>
      <c r="G19" s="17">
        <f>Kostenarten!G9*Kostenarten!I9</f>
        <v/>
      </c>
      <c r="H19" s="17">
        <f>IF(Stammdaten!C11="Ja",G19*Stammdaten!C12,0)</f>
        <v/>
      </c>
      <c r="I19" s="17">
        <f>G19+H19</f>
        <v/>
      </c>
    </row>
    <row r="20">
      <c r="B20" s="20" t="n">
        <v>5</v>
      </c>
      <c r="C20" s="26">
        <f>Kostenarten!C10</f>
        <v/>
      </c>
      <c r="D20" s="17">
        <f>Kostenarten!G10</f>
        <v/>
      </c>
      <c r="E20" s="36">
        <f>Kostenarten!H10</f>
        <v/>
      </c>
      <c r="F20" s="16">
        <f>Kostenarten!I10</f>
        <v/>
      </c>
      <c r="G20" s="17">
        <f>Kostenarten!G10*Kostenarten!I10</f>
        <v/>
      </c>
      <c r="H20" s="17">
        <f>IF(Stammdaten!C11="Ja",G20*Stammdaten!C12,0)</f>
        <v/>
      </c>
      <c r="I20" s="17">
        <f>G20+H20</f>
        <v/>
      </c>
    </row>
    <row r="21">
      <c r="B21" s="20" t="n">
        <v>6</v>
      </c>
      <c r="C21" s="26">
        <f>Kostenarten!C11</f>
        <v/>
      </c>
      <c r="D21" s="17">
        <f>Kostenarten!G11</f>
        <v/>
      </c>
      <c r="E21" s="36">
        <f>Kostenarten!H11</f>
        <v/>
      </c>
      <c r="F21" s="16">
        <f>Kostenarten!I11</f>
        <v/>
      </c>
      <c r="G21" s="17">
        <f>Kostenarten!G11*Kostenarten!I11</f>
        <v/>
      </c>
      <c r="H21" s="17">
        <f>IF(Stammdaten!C11="Ja",G21*Stammdaten!C12,0)</f>
        <v/>
      </c>
      <c r="I21" s="17">
        <f>G21+H21</f>
        <v/>
      </c>
    </row>
    <row r="22">
      <c r="B22" s="20" t="n">
        <v>7</v>
      </c>
      <c r="C22" s="26">
        <f>Kostenarten!C12</f>
        <v/>
      </c>
      <c r="D22" s="17">
        <f>Kostenarten!G12</f>
        <v/>
      </c>
      <c r="E22" s="36">
        <f>Kostenarten!H12</f>
        <v/>
      </c>
      <c r="F22" s="16">
        <f>Kostenarten!I12</f>
        <v/>
      </c>
      <c r="G22" s="17">
        <f>Kostenarten!G12*Kostenarten!I12</f>
        <v/>
      </c>
      <c r="H22" s="17">
        <f>IF(Stammdaten!C11="Ja",G22*Stammdaten!C12,0)</f>
        <v/>
      </c>
      <c r="I22" s="17">
        <f>G22+H22</f>
        <v/>
      </c>
    </row>
    <row r="23">
      <c r="B23" s="20" t="n">
        <v>8</v>
      </c>
      <c r="C23" s="26">
        <f>Kostenarten!C13</f>
        <v/>
      </c>
      <c r="D23" s="17">
        <f>Kostenarten!G13</f>
        <v/>
      </c>
      <c r="E23" s="36">
        <f>Kostenarten!H13</f>
        <v/>
      </c>
      <c r="F23" s="16">
        <f>Kostenarten!I13</f>
        <v/>
      </c>
      <c r="G23" s="17">
        <f>Kostenarten!G13*Kostenarten!I13</f>
        <v/>
      </c>
      <c r="H23" s="17">
        <f>IF(Stammdaten!C11="Ja",G23*Stammdaten!C12,0)</f>
        <v/>
      </c>
      <c r="I23" s="17">
        <f>G23+H23</f>
        <v/>
      </c>
    </row>
    <row r="24">
      <c r="B24" s="20" t="n">
        <v>9</v>
      </c>
      <c r="C24" s="26">
        <f>Kostenarten!C14</f>
        <v/>
      </c>
      <c r="D24" s="17">
        <f>Kostenarten!G14</f>
        <v/>
      </c>
      <c r="E24" s="36">
        <f>Kostenarten!H14</f>
        <v/>
      </c>
      <c r="F24" s="16">
        <f>Kostenarten!I14</f>
        <v/>
      </c>
      <c r="G24" s="17">
        <f>Kostenarten!G14*Kostenarten!I14</f>
        <v/>
      </c>
      <c r="H24" s="17">
        <f>IF(Stammdaten!C11="Ja",G24*Stammdaten!C12,0)</f>
        <v/>
      </c>
      <c r="I24" s="17">
        <f>G24+H24</f>
        <v/>
      </c>
    </row>
    <row r="25">
      <c r="B25" s="20" t="n">
        <v>10</v>
      </c>
      <c r="C25" s="26">
        <f>Kostenarten!C15</f>
        <v/>
      </c>
      <c r="D25" s="17">
        <f>Kostenarten!G15</f>
        <v/>
      </c>
      <c r="E25" s="36">
        <f>Kostenarten!H15</f>
        <v/>
      </c>
      <c r="F25" s="16">
        <f>Kostenarten!I15</f>
        <v/>
      </c>
      <c r="G25" s="17">
        <f>Kostenarten!G15*Kostenarten!I15</f>
        <v/>
      </c>
      <c r="H25" s="17">
        <f>IF(Stammdaten!C11="Ja",G25*Stammdaten!C12,0)</f>
        <v/>
      </c>
      <c r="I25" s="17">
        <f>G25+H25</f>
        <v/>
      </c>
    </row>
    <row r="26">
      <c r="B26" s="20" t="n">
        <v>11</v>
      </c>
      <c r="C26" s="26">
        <f>Kostenarten!C16</f>
        <v/>
      </c>
      <c r="D26" s="17">
        <f>Kostenarten!G16</f>
        <v/>
      </c>
      <c r="E26" s="36">
        <f>Kostenarten!H16</f>
        <v/>
      </c>
      <c r="F26" s="16">
        <f>Kostenarten!I16</f>
        <v/>
      </c>
      <c r="G26" s="17">
        <f>Kostenarten!G16*Kostenarten!I16</f>
        <v/>
      </c>
      <c r="H26" s="17">
        <f>IF(Stammdaten!C11="Ja",G26*Stammdaten!C12,0)</f>
        <v/>
      </c>
      <c r="I26" s="17">
        <f>G26+H26</f>
        <v/>
      </c>
    </row>
    <row r="27">
      <c r="B27" s="20" t="n">
        <v>12</v>
      </c>
      <c r="C27" s="26">
        <f>Kostenarten!C17</f>
        <v/>
      </c>
      <c r="D27" s="17">
        <f>Kostenarten!G17</f>
        <v/>
      </c>
      <c r="E27" s="36">
        <f>Kostenarten!H17</f>
        <v/>
      </c>
      <c r="F27" s="16">
        <f>Kostenarten!I17</f>
        <v/>
      </c>
      <c r="G27" s="17">
        <f>Kostenarten!G17*Kostenarten!I17</f>
        <v/>
      </c>
      <c r="H27" s="17">
        <f>IF(Stammdaten!C11="Ja",G27*Stammdaten!C12,0)</f>
        <v/>
      </c>
      <c r="I27" s="17">
        <f>G27+H27</f>
        <v/>
      </c>
    </row>
    <row r="28">
      <c r="B28" s="20" t="n">
        <v>13</v>
      </c>
      <c r="C28" s="26">
        <f>Kostenarten!C18</f>
        <v/>
      </c>
      <c r="D28" s="17">
        <f>Kostenarten!G18</f>
        <v/>
      </c>
      <c r="E28" s="36">
        <f>Kostenarten!H18</f>
        <v/>
      </c>
      <c r="F28" s="16">
        <f>Kostenarten!I18</f>
        <v/>
      </c>
      <c r="G28" s="17">
        <f>Kostenarten!G18*Kostenarten!I18</f>
        <v/>
      </c>
      <c r="H28" s="17">
        <f>IF(Stammdaten!C11="Ja",G28*Stammdaten!C12,0)</f>
        <v/>
      </c>
      <c r="I28" s="17">
        <f>G28+H28</f>
        <v/>
      </c>
    </row>
    <row r="29">
      <c r="B29" s="20" t="n">
        <v>14</v>
      </c>
      <c r="C29" s="26">
        <f>Kostenarten!C19</f>
        <v/>
      </c>
      <c r="D29" s="17">
        <f>Kostenarten!G19</f>
        <v/>
      </c>
      <c r="E29" s="36">
        <f>Kostenarten!H19</f>
        <v/>
      </c>
      <c r="F29" s="16">
        <f>Kostenarten!I19</f>
        <v/>
      </c>
      <c r="G29" s="17">
        <f>Kostenarten!G19*Kostenarten!I19</f>
        <v/>
      </c>
      <c r="H29" s="17">
        <f>IF(Stammdaten!C11="Ja",G29*Stammdaten!C12,0)</f>
        <v/>
      </c>
      <c r="I29" s="17">
        <f>G29+H29</f>
        <v/>
      </c>
    </row>
    <row r="30">
      <c r="B30" s="20" t="n">
        <v>15</v>
      </c>
      <c r="C30" s="26">
        <f>Kostenarten!C20</f>
        <v/>
      </c>
      <c r="D30" s="17">
        <f>Kostenarten!G20</f>
        <v/>
      </c>
      <c r="E30" s="36">
        <f>Kostenarten!H20</f>
        <v/>
      </c>
      <c r="F30" s="16">
        <f>Kostenarten!I20</f>
        <v/>
      </c>
      <c r="G30" s="17">
        <f>Kostenarten!G20*Kostenarten!I20</f>
        <v/>
      </c>
      <c r="H30" s="17">
        <f>IF(Stammdaten!C11="Ja",G30*Stammdaten!C12,0)</f>
        <v/>
      </c>
      <c r="I30" s="17">
        <f>G30+H30</f>
        <v/>
      </c>
    </row>
    <row r="31">
      <c r="B31" s="20" t="n">
        <v>16</v>
      </c>
      <c r="C31" s="26">
        <f>Kostenarten!C21</f>
        <v/>
      </c>
      <c r="D31" s="17">
        <f>Kostenarten!G21</f>
        <v/>
      </c>
      <c r="E31" s="36">
        <f>Kostenarten!H21</f>
        <v/>
      </c>
      <c r="F31" s="16">
        <f>Kostenarten!I21</f>
        <v/>
      </c>
      <c r="G31" s="17">
        <f>Kostenarten!G21*Kostenarten!I21</f>
        <v/>
      </c>
      <c r="H31" s="17">
        <f>IF(Stammdaten!C11="Ja",G31*Stammdaten!C12,0)</f>
        <v/>
      </c>
      <c r="I31" s="17">
        <f>G31+H31</f>
        <v/>
      </c>
    </row>
    <row r="32">
      <c r="B32" s="20" t="n">
        <v>17</v>
      </c>
      <c r="C32" s="26">
        <f>Kostenarten!C22</f>
        <v/>
      </c>
      <c r="D32" s="17">
        <f>Kostenarten!G22</f>
        <v/>
      </c>
      <c r="E32" s="36">
        <f>Kostenarten!H22</f>
        <v/>
      </c>
      <c r="F32" s="16">
        <f>Kostenarten!I22</f>
        <v/>
      </c>
      <c r="G32" s="17">
        <f>Kostenarten!G22*Kostenarten!I22</f>
        <v/>
      </c>
      <c r="H32" s="17">
        <f>IF(Stammdaten!C11="Ja",G32*Stammdaten!C12,0)</f>
        <v/>
      </c>
      <c r="I32" s="17">
        <f>G32+H32</f>
        <v/>
      </c>
    </row>
    <row r="33">
      <c r="B33" s="20" t="n">
        <v>18</v>
      </c>
      <c r="C33" s="26">
        <f>Kostenarten!C23</f>
        <v/>
      </c>
      <c r="D33" s="17">
        <f>Kostenarten!G23</f>
        <v/>
      </c>
      <c r="E33" s="36">
        <f>Kostenarten!H23</f>
        <v/>
      </c>
      <c r="F33" s="16">
        <f>Kostenarten!I23</f>
        <v/>
      </c>
      <c r="G33" s="17">
        <f>Kostenarten!G23*Kostenarten!I23</f>
        <v/>
      </c>
      <c r="H33" s="17">
        <f>IF(Stammdaten!C11="Ja",G33*Stammdaten!C12,0)</f>
        <v/>
      </c>
      <c r="I33" s="17">
        <f>G33+H33</f>
        <v/>
      </c>
    </row>
    <row r="34">
      <c r="B34" s="20" t="n">
        <v>19</v>
      </c>
      <c r="C34" s="26">
        <f>Kostenarten!C24</f>
        <v/>
      </c>
      <c r="D34" s="17">
        <f>Kostenarten!G24</f>
        <v/>
      </c>
      <c r="E34" s="36">
        <f>Kostenarten!H24</f>
        <v/>
      </c>
      <c r="F34" s="16">
        <f>Kostenarten!I24</f>
        <v/>
      </c>
      <c r="G34" s="17">
        <f>Kostenarten!G24*Kostenarten!I24</f>
        <v/>
      </c>
      <c r="H34" s="17">
        <f>IF(Stammdaten!C11="Ja",G34*Stammdaten!C12,0)</f>
        <v/>
      </c>
      <c r="I34" s="17">
        <f>G34+H34</f>
        <v/>
      </c>
    </row>
    <row r="35">
      <c r="B35" s="20" t="n">
        <v>20</v>
      </c>
      <c r="C35" s="26">
        <f>Kostenarten!C25</f>
        <v/>
      </c>
      <c r="D35" s="17">
        <f>Kostenarten!G25</f>
        <v/>
      </c>
      <c r="E35" s="36">
        <f>Kostenarten!H25</f>
        <v/>
      </c>
      <c r="F35" s="16">
        <f>Kostenarten!I25</f>
        <v/>
      </c>
      <c r="G35" s="17">
        <f>Kostenarten!G25*Kostenarten!I25</f>
        <v/>
      </c>
      <c r="H35" s="17">
        <f>IF(Stammdaten!C11="Ja",G35*Stammdaten!C12,0)</f>
        <v/>
      </c>
      <c r="I35" s="17">
        <f>G35+H35</f>
        <v/>
      </c>
    </row>
    <row r="36">
      <c r="B36" s="20" t="n">
        <v>21</v>
      </c>
      <c r="C36" s="26">
        <f>Kostenarten!C26</f>
        <v/>
      </c>
      <c r="D36" s="17">
        <f>Kostenarten!G26</f>
        <v/>
      </c>
      <c r="E36" s="36">
        <f>Kostenarten!H26</f>
        <v/>
      </c>
      <c r="F36" s="16">
        <f>Kostenarten!I26</f>
        <v/>
      </c>
      <c r="G36" s="17">
        <f>Kostenarten!G26*Kostenarten!I26</f>
        <v/>
      </c>
      <c r="H36" s="17">
        <f>IF(Stammdaten!C11="Ja",G36*Stammdaten!C12,0)</f>
        <v/>
      </c>
      <c r="I36" s="17">
        <f>G36+H36</f>
        <v/>
      </c>
    </row>
    <row r="37">
      <c r="B37" s="20" t="n">
        <v>22</v>
      </c>
      <c r="C37" s="26">
        <f>Kostenarten!C27</f>
        <v/>
      </c>
      <c r="D37" s="17">
        <f>Kostenarten!G27</f>
        <v/>
      </c>
      <c r="E37" s="36">
        <f>Kostenarten!H27</f>
        <v/>
      </c>
      <c r="F37" s="16">
        <f>Kostenarten!I27</f>
        <v/>
      </c>
      <c r="G37" s="17">
        <f>Kostenarten!G27*Kostenarten!I27</f>
        <v/>
      </c>
      <c r="H37" s="17">
        <f>IF(Stammdaten!C11="Ja",G37*Stammdaten!C12,0)</f>
        <v/>
      </c>
      <c r="I37" s="17">
        <f>G37+H37</f>
        <v/>
      </c>
    </row>
    <row r="38">
      <c r="B38" s="20" t="n">
        <v>23</v>
      </c>
      <c r="C38" s="26">
        <f>Kostenarten!C28</f>
        <v/>
      </c>
      <c r="D38" s="17">
        <f>Kostenarten!G28</f>
        <v/>
      </c>
      <c r="E38" s="36">
        <f>Kostenarten!H28</f>
        <v/>
      </c>
      <c r="F38" s="16">
        <f>Kostenarten!I28</f>
        <v/>
      </c>
      <c r="G38" s="17">
        <f>Kostenarten!G28*Kostenarten!I28</f>
        <v/>
      </c>
      <c r="H38" s="17">
        <f>IF(Stammdaten!C11="Ja",G38*Stammdaten!C12,0)</f>
        <v/>
      </c>
      <c r="I38" s="17">
        <f>G38+H38</f>
        <v/>
      </c>
    </row>
    <row r="39">
      <c r="B39" s="20" t="n">
        <v>24</v>
      </c>
      <c r="C39" s="26">
        <f>Kostenarten!C29</f>
        <v/>
      </c>
      <c r="D39" s="17">
        <f>Kostenarten!G29</f>
        <v/>
      </c>
      <c r="E39" s="36">
        <f>Kostenarten!H29</f>
        <v/>
      </c>
      <c r="F39" s="16">
        <f>Kostenarten!I29</f>
        <v/>
      </c>
      <c r="G39" s="17">
        <f>Kostenarten!G29*Kostenarten!I29</f>
        <v/>
      </c>
      <c r="H39" s="17">
        <f>IF(Stammdaten!C11="Ja",G39*Stammdaten!C12,0)</f>
        <v/>
      </c>
      <c r="I39" s="17">
        <f>G39+H39</f>
        <v/>
      </c>
    </row>
    <row r="40">
      <c r="C40" s="29" t="inlineStr">
        <is>
          <t>Zwischensumme umlagefähig</t>
        </is>
      </c>
      <c r="D40" s="30">
        <f>SUM(D16:D39)</f>
        <v/>
      </c>
      <c r="G40" s="30">
        <f>SUM(G16:G39)</f>
        <v/>
      </c>
      <c r="H40" s="30">
        <f>SUM(H16:H39)</f>
        <v/>
      </c>
      <c r="I40" s="30">
        <f>SUM(I16:I39)</f>
        <v/>
      </c>
    </row>
    <row r="42">
      <c r="B42" s="3" t="inlineStr">
        <is>
          <t>Ergebnis</t>
        </is>
      </c>
    </row>
    <row r="43">
      <c r="B43" s="15" t="inlineStr">
        <is>
          <t>Summe Anteil Mieter netto</t>
        </is>
      </c>
      <c r="C43" s="17">
        <f>G40</f>
        <v/>
      </c>
    </row>
    <row r="44">
      <c r="B44" s="15" t="inlineStr">
        <is>
          <t>zzgl. Umsatzsteuer</t>
        </is>
      </c>
      <c r="C44" s="17">
        <f>H40</f>
        <v/>
      </c>
    </row>
    <row r="45">
      <c r="B45" s="15" t="inlineStr">
        <is>
          <t>Summe brutto</t>
        </is>
      </c>
      <c r="C45" s="17">
        <f>I40</f>
        <v/>
      </c>
    </row>
    <row r="46">
      <c r="B46" s="15" t="inlineStr">
        <is>
          <t>abzgl. Vorauszahlungen brutto</t>
        </is>
      </c>
      <c r="C46" s="17">
        <f>Stammdaten!C22</f>
        <v/>
      </c>
    </row>
    <row r="47">
      <c r="B47" s="37" t="inlineStr">
        <is>
          <t>Nachzahlung / Guthaben (−)</t>
        </is>
      </c>
      <c r="C47" s="30">
        <f>C45-C46</f>
        <v/>
      </c>
    </row>
    <row r="49">
      <c r="B49" s="2" t="inlineStr">
        <is>
          <t>Positiv = Nachzahlung Mieter · Negativ = Guthaben zugunsten Mieter</t>
        </is>
      </c>
    </row>
    <row r="51">
      <c r="B51" s="15" t="inlineStr">
        <is>
          <t>Erstellt am</t>
        </is>
      </c>
      <c r="C51" s="38" t="n">
        <v>46239</v>
      </c>
    </row>
    <row r="52">
      <c r="B52" s="15" t="inlineStr">
        <is>
          <t>Erstellt durch</t>
        </is>
      </c>
      <c r="C52" s="25" t="inlineStr"/>
    </row>
  </sheetData>
  <mergeCells count="4">
    <mergeCell ref="C7:E7"/>
    <mergeCell ref="B42:E42"/>
    <mergeCell ref="C6:E6"/>
    <mergeCell ref="C5:E5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72" customWidth="1" min="3" max="3"/>
    <col width="14" customWidth="1" min="4" max="4"/>
    <col width="28" customWidth="1" min="5" max="5"/>
  </cols>
  <sheetData>
    <row r="2">
      <c r="B2" s="1" t="inlineStr">
        <is>
          <t>Checkliste vor Versand an den gewerblichen Mieter</t>
        </is>
      </c>
    </row>
    <row r="4">
      <c r="B4" s="19" t="inlineStr">
        <is>
          <t>OK?</t>
        </is>
      </c>
      <c r="C4" s="19" t="inlineStr">
        <is>
          <t>Prüfpunkt</t>
        </is>
      </c>
      <c r="D4" s="19" t="inlineStr">
        <is>
          <t>Status</t>
        </is>
      </c>
      <c r="E4" s="19" t="inlineStr">
        <is>
          <t>Notiz</t>
        </is>
      </c>
    </row>
    <row r="5" ht="28" customHeight="1">
      <c r="B5" s="22" t="inlineStr">
        <is>
          <t>☐</t>
        </is>
      </c>
      <c r="C5" s="21" t="inlineStr">
        <is>
          <t>Mietvertrag: umlagefähige Kostenarten und Schlüssel geprüft</t>
        </is>
      </c>
      <c r="D5" s="22" t="inlineStr">
        <is>
          <t>offen</t>
        </is>
      </c>
      <c r="E5" s="25" t="n"/>
    </row>
    <row r="6" ht="28" customHeight="1">
      <c r="B6" s="22" t="inlineStr">
        <is>
          <t>☐</t>
        </is>
      </c>
      <c r="C6" s="21" t="inlineStr">
        <is>
          <t>„Sonstige Betriebskosten“ im Vertrag konkret benannt (falls genutzt)</t>
        </is>
      </c>
      <c r="D6" s="22" t="inlineStr">
        <is>
          <t>offen</t>
        </is>
      </c>
      <c r="E6" s="25" t="n"/>
    </row>
    <row r="7" ht="28" customHeight="1">
      <c r="B7" s="22" t="inlineStr">
        <is>
          <t>☐</t>
        </is>
      </c>
      <c r="C7" s="21" t="inlineStr">
        <is>
          <t>Instandsetzung / Finanzierung / Leerstand nicht umgelegt</t>
        </is>
      </c>
      <c r="D7" s="22" t="inlineStr">
        <is>
          <t>offen</t>
        </is>
      </c>
      <c r="E7" s="25" t="n"/>
    </row>
    <row r="8" ht="28" customHeight="1">
      <c r="B8" s="22" t="inlineStr">
        <is>
          <t>☐</t>
        </is>
      </c>
      <c r="C8" s="21" t="inlineStr">
        <is>
          <t>Verwaltungskosten nur bei klarer Vereinbarung</t>
        </is>
      </c>
      <c r="D8" s="22" t="inlineStr">
        <is>
          <t>offen</t>
        </is>
      </c>
      <c r="E8" s="25" t="n"/>
    </row>
    <row r="9" ht="28" customHeight="1">
      <c r="B9" s="22" t="inlineStr">
        <is>
          <t>☐</t>
        </is>
      </c>
      <c r="C9" s="21" t="inlineStr">
        <is>
          <t>Obergrenzen für Instandhaltung beachtet (falls vereinbart)</t>
        </is>
      </c>
      <c r="D9" s="22" t="inlineStr">
        <is>
          <t>offen</t>
        </is>
      </c>
      <c r="E9" s="25" t="n"/>
    </row>
    <row r="10" ht="28" customHeight="1">
      <c r="B10" s="22" t="inlineStr">
        <is>
          <t>☐</t>
        </is>
      </c>
      <c r="C10" s="21" t="inlineStr">
        <is>
          <t>HeizkostenV / Verbrauchswerte geprüft (falls anwendbar)</t>
        </is>
      </c>
      <c r="D10" s="22" t="inlineStr">
        <is>
          <t>offen</t>
        </is>
      </c>
      <c r="E10" s="25" t="n"/>
    </row>
    <row r="11" ht="28" customHeight="1">
      <c r="B11" s="22" t="inlineStr">
        <is>
          <t>☐</t>
        </is>
      </c>
      <c r="C11" s="21" t="inlineStr">
        <is>
          <t>Bei Mischobjekt Wohnen/Gewerbe: Schlüssel und Trennung sauber</t>
        </is>
      </c>
      <c r="D11" s="22" t="inlineStr">
        <is>
          <t>offen</t>
        </is>
      </c>
      <c r="E11" s="25" t="n"/>
    </row>
    <row r="12" ht="28" customHeight="1">
      <c r="B12" s="22" t="inlineStr">
        <is>
          <t>☐</t>
        </is>
      </c>
      <c r="C12" s="21" t="inlineStr">
        <is>
          <t>WEG-Hausgeld in umlagefähig / nicht umlagefähig gesplittet</t>
        </is>
      </c>
      <c r="D12" s="22" t="inlineStr">
        <is>
          <t>offen</t>
        </is>
      </c>
      <c r="E12" s="25" t="n"/>
    </row>
    <row r="13" ht="28" customHeight="1">
      <c r="B13" s="22" t="inlineStr">
        <is>
          <t>☐</t>
        </is>
      </c>
      <c r="C13" s="21" t="inlineStr">
        <is>
          <t>Alle Beträge dem Abrechnungszeitraum zugeordnet</t>
        </is>
      </c>
      <c r="D13" s="22" t="inlineStr">
        <is>
          <t>offen</t>
        </is>
      </c>
      <c r="E13" s="25" t="n"/>
    </row>
    <row r="14" ht="28" customHeight="1">
      <c r="B14" s="22" t="inlineStr">
        <is>
          <t>☐</t>
        </is>
      </c>
      <c r="C14" s="21" t="inlineStr">
        <is>
          <t>Bei USt-Option: Nettoerfassung, Vorsteuer nicht doppelt, 19 % auf Mieteranteil</t>
        </is>
      </c>
      <c r="D14" s="22" t="inlineStr">
        <is>
          <t>offen</t>
        </is>
      </c>
      <c r="E14" s="25" t="n"/>
    </row>
    <row r="15" ht="28" customHeight="1">
      <c r="B15" s="22" t="inlineStr">
        <is>
          <t>☐</t>
        </is>
      </c>
      <c r="C15" s="21" t="inlineStr">
        <is>
          <t>Vorauszahlungen inkl. USt korrekt abgezogen</t>
        </is>
      </c>
      <c r="D15" s="22" t="inlineStr">
        <is>
          <t>offen</t>
        </is>
      </c>
      <c r="E15" s="25" t="n"/>
    </row>
    <row r="16" ht="28" customHeight="1">
      <c r="B16" s="22" t="inlineStr">
        <is>
          <t>☐</t>
        </is>
      </c>
      <c r="C16" s="21" t="inlineStr">
        <is>
          <t>Abrechnung enthält: Zeitraum, Gesamtkosten, Schlüssel, Anteil, Vorauszahlung, Saldo</t>
        </is>
      </c>
      <c r="D16" s="22" t="inlineStr">
        <is>
          <t>offen</t>
        </is>
      </c>
      <c r="E16" s="25" t="n"/>
    </row>
    <row r="17" ht="28" customHeight="1">
      <c r="B17" s="22" t="inlineStr">
        <is>
          <t>☐</t>
        </is>
      </c>
      <c r="C17" s="21" t="inlineStr">
        <is>
          <t>Belege sortiert und auf Anforderung bereit</t>
        </is>
      </c>
      <c r="D17" s="22" t="inlineStr">
        <is>
          <t>offen</t>
        </is>
      </c>
      <c r="E17" s="25" t="n"/>
    </row>
    <row r="18" ht="28" customHeight="1">
      <c r="B18" s="22" t="inlineStr">
        <is>
          <t>☐</t>
        </is>
      </c>
      <c r="C18" s="21" t="inlineStr">
        <is>
          <t>Zugang der Abrechnung dokumentieren (Mail/Einschreiben/Portal)</t>
        </is>
      </c>
      <c r="D18" s="22" t="inlineStr">
        <is>
          <t>offen</t>
        </is>
      </c>
      <c r="E18" s="25" t="n"/>
    </row>
    <row r="19" ht="28" customHeight="1">
      <c r="B19" s="22" t="inlineStr">
        <is>
          <t>☐</t>
        </is>
      </c>
      <c r="C19" s="21" t="inlineStr">
        <is>
          <t>Nachzahlung / Guthaben und Zahlungsfrist kommuniziert</t>
        </is>
      </c>
      <c r="D19" s="22" t="inlineStr">
        <is>
          <t>offen</t>
        </is>
      </c>
      <c r="E19" s="25" t="n"/>
    </row>
    <row r="22">
      <c r="B22" s="2" t="inlineStr">
        <is>
          <t>Hinweis: Diese Mappe ist eine Arbeitshilfe, keine Rechts- oder Steuerberatung.</t>
        </is>
      </c>
    </row>
  </sheetData>
  <conditionalFormatting sqref="D5:D25">
    <cfRule type="expression" priority="1" dxfId="0">
      <formula>D5="erledigt"</formula>
    </cfRule>
    <cfRule type="expression" priority="2" dxfId="1">
      <formula>D5="kritisch"</formula>
    </cfRule>
    <cfRule type="expression" priority="3" dxfId="2">
      <formula>D5="offen"</formula>
    </cfRule>
  </conditionalFormatting>
  <dataValidations count="2">
    <dataValidation sqref="B5:B25" showDropDown="0" showInputMessage="0" showErrorMessage="0" allowBlank="1" type="list">
      <formula1>"☐,☑"</formula1>
    </dataValidation>
    <dataValidation sqref="D5:D25" showDropDown="0" showInputMessage="0" showErrorMessage="0" allowBlank="1" type="list">
      <formula1>"offen,erledigt,kritisch"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6" customWidth="1" min="4" max="4"/>
    <col width="14" customWidth="1" min="5" max="5"/>
    <col width="16" customWidth="1" min="6" max="6"/>
    <col width="24" customWidth="1" min="7" max="7"/>
  </cols>
  <sheetData>
    <row r="2">
      <c r="B2" s="1" t="inlineStr">
        <is>
          <t>Vorauszahlungen – Monatsübersicht (optional)</t>
        </is>
      </c>
    </row>
    <row r="3">
      <c r="B3" s="2" t="inlineStr">
        <is>
          <t>Bei schwankenden Vorauszahlungen monatsweise erfassen. Summe mit Stammdaten abgleichen.</t>
        </is>
      </c>
    </row>
    <row r="5">
      <c r="B5" s="19" t="inlineStr">
        <is>
          <t>Nr</t>
        </is>
      </c>
      <c r="C5" s="19" t="inlineStr">
        <is>
          <t>Monat</t>
        </is>
      </c>
      <c r="D5" s="19" t="inlineStr">
        <is>
          <t>NK netto €</t>
        </is>
      </c>
      <c r="E5" s="19" t="inlineStr">
        <is>
          <t>USt €</t>
        </is>
      </c>
      <c r="F5" s="19" t="inlineStr">
        <is>
          <t>Brutto €</t>
        </is>
      </c>
      <c r="G5" s="19" t="inlineStr">
        <is>
          <t>Eingang / Nachweis</t>
        </is>
      </c>
    </row>
    <row r="6">
      <c r="B6" s="26" t="n">
        <v>1</v>
      </c>
      <c r="C6" s="26" t="inlineStr">
        <is>
          <t>Jan</t>
        </is>
      </c>
      <c r="D6" s="27">
        <f>Stammdaten!$C$16</f>
        <v/>
      </c>
      <c r="E6" s="17">
        <f>IF(Stammdaten!$C$11="Ja",D6*Stammdaten!$C$12,0)</f>
        <v/>
      </c>
      <c r="F6" s="17">
        <f>D6+E6</f>
        <v/>
      </c>
      <c r="G6" s="25" t="n"/>
    </row>
    <row r="7">
      <c r="B7" s="26" t="n">
        <v>2</v>
      </c>
      <c r="C7" s="26" t="inlineStr">
        <is>
          <t>Feb</t>
        </is>
      </c>
      <c r="D7" s="27">
        <f>Stammdaten!$C$16</f>
        <v/>
      </c>
      <c r="E7" s="17">
        <f>IF(Stammdaten!$C$11="Ja",D7*Stammdaten!$C$12,0)</f>
        <v/>
      </c>
      <c r="F7" s="17">
        <f>D7+E7</f>
        <v/>
      </c>
      <c r="G7" s="25" t="n"/>
    </row>
    <row r="8">
      <c r="B8" s="26" t="n">
        <v>3</v>
      </c>
      <c r="C8" s="26" t="inlineStr">
        <is>
          <t>Mär</t>
        </is>
      </c>
      <c r="D8" s="27">
        <f>Stammdaten!$C$16</f>
        <v/>
      </c>
      <c r="E8" s="17">
        <f>IF(Stammdaten!$C$11="Ja",D8*Stammdaten!$C$12,0)</f>
        <v/>
      </c>
      <c r="F8" s="17">
        <f>D8+E8</f>
        <v/>
      </c>
      <c r="G8" s="25" t="n"/>
    </row>
    <row r="9">
      <c r="B9" s="26" t="n">
        <v>4</v>
      </c>
      <c r="C9" s="26" t="inlineStr">
        <is>
          <t>Apr</t>
        </is>
      </c>
      <c r="D9" s="27">
        <f>Stammdaten!$C$16</f>
        <v/>
      </c>
      <c r="E9" s="17">
        <f>IF(Stammdaten!$C$11="Ja",D9*Stammdaten!$C$12,0)</f>
        <v/>
      </c>
      <c r="F9" s="17">
        <f>D9+E9</f>
        <v/>
      </c>
      <c r="G9" s="25" t="n"/>
    </row>
    <row r="10">
      <c r="B10" s="26" t="n">
        <v>5</v>
      </c>
      <c r="C10" s="26" t="inlineStr">
        <is>
          <t>Mai</t>
        </is>
      </c>
      <c r="D10" s="27">
        <f>Stammdaten!$C$16</f>
        <v/>
      </c>
      <c r="E10" s="17">
        <f>IF(Stammdaten!$C$11="Ja",D10*Stammdaten!$C$12,0)</f>
        <v/>
      </c>
      <c r="F10" s="17">
        <f>D10+E10</f>
        <v/>
      </c>
      <c r="G10" s="25" t="n"/>
    </row>
    <row r="11">
      <c r="B11" s="26" t="n">
        <v>6</v>
      </c>
      <c r="C11" s="26" t="inlineStr">
        <is>
          <t>Jun</t>
        </is>
      </c>
      <c r="D11" s="27">
        <f>Stammdaten!$C$16</f>
        <v/>
      </c>
      <c r="E11" s="17">
        <f>IF(Stammdaten!$C$11="Ja",D11*Stammdaten!$C$12,0)</f>
        <v/>
      </c>
      <c r="F11" s="17">
        <f>D11+E11</f>
        <v/>
      </c>
      <c r="G11" s="25" t="n"/>
    </row>
    <row r="12">
      <c r="B12" s="26" t="n">
        <v>7</v>
      </c>
      <c r="C12" s="26" t="inlineStr">
        <is>
          <t>Jul</t>
        </is>
      </c>
      <c r="D12" s="27">
        <f>Stammdaten!$C$16</f>
        <v/>
      </c>
      <c r="E12" s="17">
        <f>IF(Stammdaten!$C$11="Ja",D12*Stammdaten!$C$12,0)</f>
        <v/>
      </c>
      <c r="F12" s="17">
        <f>D12+E12</f>
        <v/>
      </c>
      <c r="G12" s="25" t="n"/>
    </row>
    <row r="13">
      <c r="B13" s="26" t="n">
        <v>8</v>
      </c>
      <c r="C13" s="26" t="inlineStr">
        <is>
          <t>Aug</t>
        </is>
      </c>
      <c r="D13" s="27">
        <f>Stammdaten!$C$16</f>
        <v/>
      </c>
      <c r="E13" s="17">
        <f>IF(Stammdaten!$C$11="Ja",D13*Stammdaten!$C$12,0)</f>
        <v/>
      </c>
      <c r="F13" s="17">
        <f>D13+E13</f>
        <v/>
      </c>
      <c r="G13" s="25" t="n"/>
    </row>
    <row r="14">
      <c r="B14" s="26" t="n">
        <v>9</v>
      </c>
      <c r="C14" s="26" t="inlineStr">
        <is>
          <t>Sep</t>
        </is>
      </c>
      <c r="D14" s="27">
        <f>Stammdaten!$C$16</f>
        <v/>
      </c>
      <c r="E14" s="17">
        <f>IF(Stammdaten!$C$11="Ja",D14*Stammdaten!$C$12,0)</f>
        <v/>
      </c>
      <c r="F14" s="17">
        <f>D14+E14</f>
        <v/>
      </c>
      <c r="G14" s="25" t="n"/>
    </row>
    <row r="15">
      <c r="B15" s="26" t="n">
        <v>10</v>
      </c>
      <c r="C15" s="26" t="inlineStr">
        <is>
          <t>Okt</t>
        </is>
      </c>
      <c r="D15" s="27">
        <f>Stammdaten!$C$16</f>
        <v/>
      </c>
      <c r="E15" s="17">
        <f>IF(Stammdaten!$C$11="Ja",D15*Stammdaten!$C$12,0)</f>
        <v/>
      </c>
      <c r="F15" s="17">
        <f>D15+E15</f>
        <v/>
      </c>
      <c r="G15" s="25" t="n"/>
    </row>
    <row r="16">
      <c r="B16" s="26" t="n">
        <v>11</v>
      </c>
      <c r="C16" s="26" t="inlineStr">
        <is>
          <t>Nov</t>
        </is>
      </c>
      <c r="D16" s="27">
        <f>Stammdaten!$C$16</f>
        <v/>
      </c>
      <c r="E16" s="17">
        <f>IF(Stammdaten!$C$11="Ja",D16*Stammdaten!$C$12,0)</f>
        <v/>
      </c>
      <c r="F16" s="17">
        <f>D16+E16</f>
        <v/>
      </c>
      <c r="G16" s="25" t="n"/>
    </row>
    <row r="17">
      <c r="B17" s="26" t="n">
        <v>12</v>
      </c>
      <c r="C17" s="26" t="inlineStr">
        <is>
          <t>Dez</t>
        </is>
      </c>
      <c r="D17" s="27">
        <f>Stammdaten!$C$16</f>
        <v/>
      </c>
      <c r="E17" s="17">
        <f>IF(Stammdaten!$C$11="Ja",D17*Stammdaten!$C$12,0)</f>
        <v/>
      </c>
      <c r="F17" s="17">
        <f>D17+E17</f>
        <v/>
      </c>
      <c r="G17" s="25" t="n"/>
    </row>
    <row r="18">
      <c r="C18" s="37" t="inlineStr">
        <is>
          <t>Summe</t>
        </is>
      </c>
      <c r="D18" s="30">
        <f>SUM(D6:D17)</f>
        <v/>
      </c>
      <c r="E18" s="30">
        <f>SUM(E6:E17)</f>
        <v/>
      </c>
      <c r="F18" s="30">
        <f>SUM(F6:F17)</f>
        <v/>
      </c>
    </row>
    <row r="20">
      <c r="B20" s="2" t="inlineStr">
        <is>
          <t>Tipp: Weicht die Summe von Stammdaten C21/C22 ab, Vorauszahlung in Stammdaten anpassen.</t>
        </is>
      </c>
    </row>
  </sheetData>
  <mergeCells count="1">
    <mergeCell ref="B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2026-08-05T11:44:49Z</dcterms:created>
  <dcterms:modified xsi:type="dcterms:W3CDTF">2026-08-05T11:44:49Z</dcterms:modified>
</cp:coreProperties>
</file>