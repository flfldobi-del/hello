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egung" sheetId="1" state="visible" r:id="rId1"/>
    <sheet name="Historie" sheetId="2" state="visible" r:id="rId2"/>
    <sheet name="Wohnungen" sheetId="3" state="visible" r:id="rId3"/>
  </sheets>
  <definedNames>
    <definedName name="_xlnm.Print_Titles" localSheetId="0">'Belegung'!$10:$10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&quot;€&quot;#,##0.00"/>
  </numFmts>
  <fonts count="12">
    <font>
      <name val="Calibri"/>
      <family val="2"/>
      <color theme="1"/>
      <sz val="11"/>
      <scheme val="minor"/>
    </font>
    <font>
      <name val="Georgia"/>
      <b val="1"/>
      <color rgb="002C3E2D"/>
      <sz val="20"/>
    </font>
    <font>
      <name val="Calibri"/>
      <i val="1"/>
      <color rgb="005C6B5E"/>
      <sz val="10"/>
    </font>
    <font>
      <name val="Calibri"/>
      <b val="1"/>
      <color rgb="00F7F3EB"/>
      <sz val="9"/>
    </font>
    <font>
      <name val="Georgia"/>
      <b val="1"/>
      <color rgb="002C3E2D"/>
      <sz val="18"/>
    </font>
    <font>
      <name val="Calibri"/>
      <b val="1"/>
      <color rgb="001A1A1A"/>
      <sz val="11"/>
    </font>
    <font>
      <name val="Calibri"/>
      <color rgb="001A1A1A"/>
      <sz val="11"/>
    </font>
    <font>
      <name val="Georgia"/>
      <b val="1"/>
      <color rgb="00F7F3EB"/>
      <sz val="11"/>
    </font>
    <font>
      <name val="Calibri"/>
      <b val="1"/>
      <color rgb="00888888"/>
      <sz val="9"/>
    </font>
    <font>
      <name val="Calibri"/>
      <color rgb="00888888"/>
      <sz val="9"/>
    </font>
    <font>
      <name val="Georgia"/>
      <b val="1"/>
      <color rgb="002C3E2D"/>
      <sz val="12"/>
    </font>
    <font>
      <name val="Calibri"/>
      <color rgb="00444444"/>
      <sz val="10"/>
    </font>
  </fonts>
  <fills count="8">
    <fill>
      <patternFill/>
    </fill>
    <fill>
      <patternFill patternType="gray125"/>
    </fill>
    <fill>
      <patternFill patternType="solid">
        <fgColor rgb="002C3E2D"/>
      </patternFill>
    </fill>
    <fill>
      <patternFill patternType="solid">
        <fgColor rgb="00E8EDE4"/>
      </patternFill>
    </fill>
    <fill>
      <patternFill patternType="solid">
        <fgColor rgb="00D4E5C6"/>
      </patternFill>
    </fill>
    <fill>
      <patternFill patternType="solid">
        <fgColor rgb="00F3D9C8"/>
      </patternFill>
    </fill>
    <fill>
      <patternFill patternType="solid">
        <fgColor rgb="00F5E6B8"/>
      </patternFill>
    </fill>
    <fill>
      <patternFill patternType="solid">
        <fgColor rgb="00F7F3EB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8" fillId="0" borderId="0" pivotButton="0" quotePrefix="0" xfId="0"/>
    <xf numFmtId="1" fontId="4" fillId="3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center" vertical="center" wrapText="1"/>
    </xf>
    <xf numFmtId="4" fontId="6" fillId="7" borderId="1" applyAlignment="1" pivotButton="0" quotePrefix="0" xfId="0">
      <alignment horizontal="center" vertical="center" wrapText="1"/>
    </xf>
    <xf numFmtId="165" fontId="4" fillId="3" borderId="0" pivotButton="0" quotePrefix="0" xfId="0"/>
    <xf numFmtId="164" fontId="6" fillId="0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4" fontId="0" fillId="0" borderId="1" pivotButton="0" quotePrefix="0" xfId="0"/>
    <xf numFmtId="165" fontId="4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4E5C6"/>
        </patternFill>
      </fill>
    </dxf>
    <dxf>
      <fill>
        <patternFill patternType="solid">
          <fgColor rgb="00F3D9C8"/>
        </patternFill>
      </fill>
    </dxf>
    <dxf>
      <fill>
        <patternFill patternType="solid">
          <fgColor rgb="00F5E6B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Belegung</a:t>
            </a:r>
          </a:p>
        </rich>
      </tx>
    </title>
    <plotArea>
      <pieChart>
        <varyColors val="1"/>
        <ser>
          <idx val="0"/>
          <order val="0"/>
          <tx>
            <strRef>
              <f>'Belegung'!M5</f>
            </strRef>
          </tx>
          <spPr>
            <a:ln>
              <a:prstDash val="solid"/>
            </a:ln>
          </spPr>
          <cat>
            <numRef>
              <f>'Belegung'!$L$6:$L$8</f>
            </numRef>
          </cat>
          <val>
            <numRef>
              <f>'Belegung'!$M$6:$M$8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25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M37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7" customWidth="1" min="2" max="2"/>
    <col width="9" customWidth="1" min="3" max="3"/>
    <col width="7" customWidth="1" min="4" max="4"/>
    <col width="12" customWidth="1" min="5" max="5"/>
    <col width="18" customWidth="1" min="6" max="6"/>
    <col width="12" customWidth="1" min="7" max="7"/>
    <col width="16" customWidth="1" min="8" max="8"/>
    <col width="14" customWidth="1" min="9" max="9"/>
    <col width="26" customWidth="1" min="10" max="10"/>
  </cols>
  <sheetData>
    <row r="2" ht="32" customHeight="1">
      <c r="B2" s="1" t="inlineStr">
        <is>
          <t>Haus · 14 Wohnungen</t>
        </is>
      </c>
    </row>
    <row r="3">
      <c r="B3" s="2" t="inlineStr">
        <is>
          <t>Belegung &amp; Wohndauer auf einen Blick  ·  Status und Daten einfach überschreiben</t>
        </is>
      </c>
    </row>
    <row r="5">
      <c r="B5" s="3" t="inlineStr">
        <is>
          <t>Wohnungen</t>
        </is>
      </c>
      <c r="C5" s="4" t="n"/>
      <c r="D5" s="3" t="inlineStr">
        <is>
          <t>Vermietet</t>
        </is>
      </c>
      <c r="E5" s="4" t="n"/>
      <c r="F5" s="3" t="inlineStr">
        <is>
          <t>Frei</t>
        </is>
      </c>
      <c r="G5" s="4" t="n"/>
      <c r="H5" s="3" t="inlineStr">
        <is>
          <t>Auslastung</t>
        </is>
      </c>
      <c r="I5" s="4" t="n"/>
      <c r="L5" s="5" t="inlineStr">
        <is>
          <t>Status</t>
        </is>
      </c>
      <c r="M5" s="5" t="inlineStr">
        <is>
          <t>Anzahl</t>
        </is>
      </c>
    </row>
    <row r="6" ht="30" customHeight="1">
      <c r="B6" s="6">
        <f>COUNTA(B11:B24)</f>
        <v/>
      </c>
      <c r="C6" s="4" t="n"/>
      <c r="D6" s="6">
        <f>COUNTIF(E11:E24,"Vermietet")</f>
        <v/>
      </c>
      <c r="E6" s="4" t="n"/>
      <c r="F6" s="6">
        <f>COUNTIF(E11:E24,"Frei")</f>
        <v/>
      </c>
      <c r="G6" s="4" t="n"/>
      <c r="H6" s="7">
        <f>IF(B6=0,0,D6/B6)</f>
        <v/>
      </c>
      <c r="I6" s="4" t="n"/>
      <c r="L6" s="8" t="inlineStr">
        <is>
          <t>Vermietet</t>
        </is>
      </c>
      <c r="M6" s="8">
        <f>COUNTIF(E11:E24,"Vermietet")</f>
        <v/>
      </c>
    </row>
    <row r="7">
      <c r="L7" s="8" t="inlineStr">
        <is>
          <t>Frei</t>
        </is>
      </c>
      <c r="M7" s="8">
        <f>COUNTIF(E11:E24,"Frei")</f>
        <v/>
      </c>
    </row>
    <row r="8">
      <c r="B8" s="9" t="inlineStr">
        <is>
          <t>Status:</t>
        </is>
      </c>
      <c r="C8" s="10" t="inlineStr">
        <is>
          <t>Vermietet</t>
        </is>
      </c>
      <c r="D8" s="11" t="inlineStr">
        <is>
          <t>Frei</t>
        </is>
      </c>
      <c r="E8" s="12" t="inlineStr">
        <is>
          <t>Gekündigt</t>
        </is>
      </c>
      <c r="L8" s="8" t="inlineStr">
        <is>
          <t>Gekündigt</t>
        </is>
      </c>
      <c r="M8" s="8">
        <f>COUNTIF(E11:E24,"Gekündigt")</f>
        <v/>
      </c>
    </row>
    <row r="10" ht="24" customHeight="1">
      <c r="B10" s="13" t="inlineStr">
        <is>
          <t>Whg.</t>
        </is>
      </c>
      <c r="C10" s="13" t="inlineStr">
        <is>
          <t>Lage</t>
        </is>
      </c>
      <c r="D10" s="13" t="inlineStr">
        <is>
          <t>m²</t>
        </is>
      </c>
      <c r="E10" s="13" t="inlineStr">
        <is>
          <t>Status</t>
        </is>
      </c>
      <c r="F10" s="13" t="inlineStr">
        <is>
          <t>Mieter</t>
        </is>
      </c>
      <c r="G10" s="13" t="inlineStr">
        <is>
          <t>Einzug</t>
        </is>
      </c>
      <c r="H10" s="13" t="inlineStr">
        <is>
          <t>Wohndauer</t>
        </is>
      </c>
      <c r="I10" s="13" t="inlineStr">
        <is>
          <t>Auszug / Ende</t>
        </is>
      </c>
      <c r="J10" s="13" t="inlineStr">
        <is>
          <t>Notiz</t>
        </is>
      </c>
    </row>
    <row r="11" ht="22" customHeight="1">
      <c r="B11" s="14" t="n">
        <v>1</v>
      </c>
      <c r="C11" s="14" t="inlineStr">
        <is>
          <t>EG</t>
        </is>
      </c>
      <c r="D11" s="14" t="n">
        <v>42</v>
      </c>
      <c r="E11" s="14" t="inlineStr">
        <is>
          <t>Vermietet</t>
        </is>
      </c>
      <c r="F11" s="14" t="inlineStr">
        <is>
          <t>Müller, Anna</t>
        </is>
      </c>
      <c r="G11" s="31" t="n">
        <v>44986</v>
      </c>
      <c r="H11" s="16">
        <f>IF(OR(E11="Frei",G11=""),"—",IF(DATEDIF(G11,TODAY(),"Y")&gt;=1,DATEDIF(G11,TODAY(),"Y")&amp;" J. "&amp;DATEDIF(G11,TODAY(),"YM")&amp;" Mon.",DATEDIF(G11,TODAY(),"M")&amp;" Monate"))</f>
        <v/>
      </c>
      <c r="I11" s="31" t="n">
        <v>46081</v>
      </c>
      <c r="J11" s="17" t="inlineStr"/>
    </row>
    <row r="12" ht="22" customHeight="1">
      <c r="B12" s="18" t="n">
        <v>2</v>
      </c>
      <c r="C12" s="18" t="inlineStr">
        <is>
          <t>EG</t>
        </is>
      </c>
      <c r="D12" s="18" t="n">
        <v>38</v>
      </c>
      <c r="E12" s="14" t="inlineStr">
        <is>
          <t>Frei</t>
        </is>
      </c>
      <c r="F12" s="18" t="n"/>
      <c r="G12" s="32" t="n"/>
      <c r="H12" s="20">
        <f>IF(OR(E12="Frei",G12=""),"—",IF(DATEDIF(G12,TODAY(),"Y")&gt;=1,DATEDIF(G12,TODAY(),"Y")&amp;" J. "&amp;DATEDIF(G12,TODAY(),"YM")&amp;" Mon.",DATEDIF(G12,TODAY(),"M")&amp;" Monate"))</f>
        <v/>
      </c>
      <c r="I12" s="32" t="n"/>
      <c r="J12" s="21" t="inlineStr">
        <is>
          <t>Sofort verfügbar</t>
        </is>
      </c>
    </row>
    <row r="13" ht="22" customHeight="1">
      <c r="B13" s="14" t="n">
        <v>3</v>
      </c>
      <c r="C13" s="14" t="inlineStr">
        <is>
          <t>EG</t>
        </is>
      </c>
      <c r="D13" s="14" t="n">
        <v>55</v>
      </c>
      <c r="E13" s="14" t="inlineStr">
        <is>
          <t>Vermietet</t>
        </is>
      </c>
      <c r="F13" s="14" t="inlineStr">
        <is>
          <t>Schmidt, Thomas</t>
        </is>
      </c>
      <c r="G13" s="31" t="n">
        <v>45458</v>
      </c>
      <c r="H13" s="16">
        <f>IF(OR(E13="Frei",G13=""),"—",IF(DATEDIF(G13,TODAY(),"Y")&gt;=1,DATEDIF(G13,TODAY(),"Y")&amp;" J. "&amp;DATEDIF(G13,TODAY(),"YM")&amp;" Mon.",DATEDIF(G13,TODAY(),"M")&amp;" Monate"))</f>
        <v/>
      </c>
      <c r="I13" s="31" t="n">
        <v>46187</v>
      </c>
      <c r="J13" s="17" t="inlineStr"/>
    </row>
    <row r="14" ht="22" customHeight="1">
      <c r="B14" s="18" t="n">
        <v>4</v>
      </c>
      <c r="C14" s="18" t="inlineStr">
        <is>
          <t>1. OG</t>
        </is>
      </c>
      <c r="D14" s="18" t="n">
        <v>48</v>
      </c>
      <c r="E14" s="14" t="inlineStr">
        <is>
          <t>Gekündigt</t>
        </is>
      </c>
      <c r="F14" s="18" t="inlineStr">
        <is>
          <t>Weber, Lisa</t>
        </is>
      </c>
      <c r="G14" s="32" t="n">
        <v>44805</v>
      </c>
      <c r="H14" s="20">
        <f>IF(OR(E14="Frei",G14=""),"—",IF(DATEDIF(G14,TODAY(),"Y")&gt;=1,DATEDIF(G14,TODAY(),"Y")&amp;" J. "&amp;DATEDIF(G14,TODAY(),"YM")&amp;" Mon.",DATEDIF(G14,TODAY(),"M")&amp;" Monate"))</f>
        <v/>
      </c>
      <c r="I14" s="32" t="n">
        <v>46265</v>
      </c>
      <c r="J14" s="21" t="inlineStr">
        <is>
          <t>Auszug Ende August</t>
        </is>
      </c>
    </row>
    <row r="15" ht="22" customHeight="1">
      <c r="B15" s="14" t="n">
        <v>5</v>
      </c>
      <c r="C15" s="14" t="inlineStr">
        <is>
          <t>1. OG</t>
        </is>
      </c>
      <c r="D15" s="14" t="n">
        <v>52</v>
      </c>
      <c r="E15" s="14" t="inlineStr">
        <is>
          <t>Vermietet</t>
        </is>
      </c>
      <c r="F15" s="14" t="inlineStr">
        <is>
          <t>Fischer, Markus</t>
        </is>
      </c>
      <c r="G15" s="31" t="n">
        <v>45658</v>
      </c>
      <c r="H15" s="16">
        <f>IF(OR(E15="Frei",G15=""),"—",IF(DATEDIF(G15,TODAY(),"Y")&gt;=1,DATEDIF(G15,TODAY(),"Y")&amp;" J. "&amp;DATEDIF(G15,TODAY(),"YM")&amp;" Mon.",DATEDIF(G15,TODAY(),"M")&amp;" Monate"))</f>
        <v/>
      </c>
      <c r="I15" s="31" t="n">
        <v>46387</v>
      </c>
      <c r="J15" s="17" t="inlineStr"/>
    </row>
    <row r="16" ht="22" customHeight="1">
      <c r="B16" s="18" t="n">
        <v>6</v>
      </c>
      <c r="C16" s="18" t="inlineStr">
        <is>
          <t>1. OG</t>
        </is>
      </c>
      <c r="D16" s="18" t="n">
        <v>36</v>
      </c>
      <c r="E16" s="14" t="inlineStr">
        <is>
          <t>Frei</t>
        </is>
      </c>
      <c r="F16" s="18" t="n"/>
      <c r="G16" s="32" t="n"/>
      <c r="H16" s="20">
        <f>IF(OR(E16="Frei",G16=""),"—",IF(DATEDIF(G16,TODAY(),"Y")&gt;=1,DATEDIF(G16,TODAY(),"Y")&amp;" J. "&amp;DATEDIF(G16,TODAY(),"YM")&amp;" Mon.",DATEDIF(G16,TODAY(),"M")&amp;" Monate"))</f>
        <v/>
      </c>
      <c r="I16" s="32" t="n"/>
      <c r="J16" s="21" t="inlineStr">
        <is>
          <t>Wird gestrichen</t>
        </is>
      </c>
    </row>
    <row r="17" ht="22" customHeight="1">
      <c r="B17" s="14" t="n">
        <v>7</v>
      </c>
      <c r="C17" s="14" t="inlineStr">
        <is>
          <t>2. OG</t>
        </is>
      </c>
      <c r="D17" s="14" t="n">
        <v>60</v>
      </c>
      <c r="E17" s="14" t="inlineStr">
        <is>
          <t>Vermietet</t>
        </is>
      </c>
      <c r="F17" s="14" t="inlineStr">
        <is>
          <t>Familie Becker</t>
        </is>
      </c>
      <c r="G17" s="31" t="n">
        <v>44317</v>
      </c>
      <c r="H17" s="16">
        <f>IF(OR(E17="Frei",G17=""),"—",IF(DATEDIF(G17,TODAY(),"Y")&gt;=1,DATEDIF(G17,TODAY(),"Y")&amp;" J. "&amp;DATEDIF(G17,TODAY(),"YM")&amp;" Mon.",DATEDIF(G17,TODAY(),"M")&amp;" Monate"))</f>
        <v/>
      </c>
      <c r="I17" s="31" t="n">
        <v>46507</v>
      </c>
      <c r="J17" s="17" t="inlineStr">
        <is>
          <t>Langzeit</t>
        </is>
      </c>
    </row>
    <row r="18" ht="22" customHeight="1">
      <c r="B18" s="18" t="n">
        <v>8</v>
      </c>
      <c r="C18" s="18" t="inlineStr">
        <is>
          <t>2. OG</t>
        </is>
      </c>
      <c r="D18" s="18" t="n">
        <v>45</v>
      </c>
      <c r="E18" s="14" t="inlineStr">
        <is>
          <t>Vermietet</t>
        </is>
      </c>
      <c r="F18" s="18" t="inlineStr">
        <is>
          <t>Hoffmann, Julia</t>
        </is>
      </c>
      <c r="G18" s="32" t="n">
        <v>45597</v>
      </c>
      <c r="H18" s="20">
        <f>IF(OR(E18="Frei",G18=""),"—",IF(DATEDIF(G18,TODAY(),"Y")&gt;=1,DATEDIF(G18,TODAY(),"Y")&amp;" J. "&amp;DATEDIF(G18,TODAY(),"YM")&amp;" Mon.",DATEDIF(G18,TODAY(),"M")&amp;" Monate"))</f>
        <v/>
      </c>
      <c r="I18" s="32" t="n">
        <v>46326</v>
      </c>
      <c r="J18" s="21" t="inlineStr"/>
    </row>
    <row r="19" ht="22" customHeight="1">
      <c r="B19" s="14" t="n">
        <v>9</v>
      </c>
      <c r="C19" s="14" t="inlineStr">
        <is>
          <t>2. OG</t>
        </is>
      </c>
      <c r="D19" s="14" t="n">
        <v>40</v>
      </c>
      <c r="E19" s="14" t="inlineStr">
        <is>
          <t>Vermietet</t>
        </is>
      </c>
      <c r="F19" s="14" t="inlineStr">
        <is>
          <t>Klein, David</t>
        </is>
      </c>
      <c r="G19" s="31" t="n">
        <v>45748</v>
      </c>
      <c r="H19" s="16">
        <f>IF(OR(E19="Frei",G19=""),"—",IF(DATEDIF(G19,TODAY(),"Y")&gt;=1,DATEDIF(G19,TODAY(),"Y")&amp;" J. "&amp;DATEDIF(G19,TODAY(),"YM")&amp;" Mon.",DATEDIF(G19,TODAY(),"M")&amp;" Monate"))</f>
        <v/>
      </c>
      <c r="I19" s="31" t="n">
        <v>46112</v>
      </c>
      <c r="J19" s="17" t="inlineStr"/>
    </row>
    <row r="20" ht="22" customHeight="1">
      <c r="B20" s="18" t="n">
        <v>10</v>
      </c>
      <c r="C20" s="18" t="inlineStr">
        <is>
          <t>3. OG</t>
        </is>
      </c>
      <c r="D20" s="18" t="n">
        <v>70</v>
      </c>
      <c r="E20" s="14" t="inlineStr">
        <is>
          <t>Vermietet</t>
        </is>
      </c>
      <c r="F20" s="18" t="inlineStr">
        <is>
          <t>Richter, Petra</t>
        </is>
      </c>
      <c r="G20" s="32" t="n">
        <v>44058</v>
      </c>
      <c r="H20" s="20">
        <f>IF(OR(E20="Frei",G20=""),"—",IF(DATEDIF(G20,TODAY(),"Y")&gt;=1,DATEDIF(G20,TODAY(),"Y")&amp;" J. "&amp;DATEDIF(G20,TODAY(),"YM")&amp;" Mon.",DATEDIF(G20,TODAY(),"M")&amp;" Monate"))</f>
        <v/>
      </c>
      <c r="I20" s="32" t="n">
        <v>46248</v>
      </c>
      <c r="J20" s="21" t="inlineStr">
        <is>
          <t>Dachgeschoss-Loft</t>
        </is>
      </c>
    </row>
    <row r="21" ht="22" customHeight="1">
      <c r="B21" s="14" t="n">
        <v>11</v>
      </c>
      <c r="C21" s="14" t="inlineStr">
        <is>
          <t>3. OG</t>
        </is>
      </c>
      <c r="D21" s="14" t="n">
        <v>44</v>
      </c>
      <c r="E21" s="14" t="inlineStr">
        <is>
          <t>Frei</t>
        </is>
      </c>
      <c r="F21" s="14" t="n"/>
      <c r="G21" s="31" t="n"/>
      <c r="H21" s="16">
        <f>IF(OR(E21="Frei",G21=""),"—",IF(DATEDIF(G21,TODAY(),"Y")&gt;=1,DATEDIF(G21,TODAY(),"Y")&amp;" J. "&amp;DATEDIF(G21,TODAY(),"YM")&amp;" Mon.",DATEDIF(G21,TODAY(),"M")&amp;" Monate"))</f>
        <v/>
      </c>
      <c r="I21" s="31" t="n"/>
      <c r="J21" s="17" t="inlineStr"/>
    </row>
    <row r="22" ht="22" customHeight="1">
      <c r="B22" s="18" t="n">
        <v>12</v>
      </c>
      <c r="C22" s="18" t="inlineStr">
        <is>
          <t>3. OG</t>
        </is>
      </c>
      <c r="D22" s="18" t="n">
        <v>50</v>
      </c>
      <c r="E22" s="14" t="inlineStr">
        <is>
          <t>Vermietet</t>
        </is>
      </c>
      <c r="F22" s="18" t="inlineStr">
        <is>
          <t>Wagner, Nico</t>
        </is>
      </c>
      <c r="G22" s="32" t="n">
        <v>45261</v>
      </c>
      <c r="H22" s="20">
        <f>IF(OR(E22="Frei",G22=""),"—",IF(DATEDIF(G22,TODAY(),"Y")&gt;=1,DATEDIF(G22,TODAY(),"Y")&amp;" J. "&amp;DATEDIF(G22,TODAY(),"YM")&amp;" Mon.",DATEDIF(G22,TODAY(),"M")&amp;" Monate"))</f>
        <v/>
      </c>
      <c r="I22" s="32" t="n">
        <v>45991</v>
      </c>
      <c r="J22" s="21" t="inlineStr">
        <is>
          <t>Verlängerung prüfen</t>
        </is>
      </c>
    </row>
    <row r="23" ht="22" customHeight="1">
      <c r="B23" s="14" t="n">
        <v>13</v>
      </c>
      <c r="C23" s="14" t="inlineStr">
        <is>
          <t>DG</t>
        </is>
      </c>
      <c r="D23" s="14" t="n">
        <v>35</v>
      </c>
      <c r="E23" s="14" t="inlineStr">
        <is>
          <t>Gekündigt</t>
        </is>
      </c>
      <c r="F23" s="14" t="inlineStr">
        <is>
          <t>Schulz, Eva</t>
        </is>
      </c>
      <c r="G23" s="31" t="n">
        <v>45323</v>
      </c>
      <c r="H23" s="16">
        <f>IF(OR(E23="Frei",G23=""),"—",IF(DATEDIF(G23,TODAY(),"Y")&gt;=1,DATEDIF(G23,TODAY(),"Y")&amp;" J. "&amp;DATEDIF(G23,TODAY(),"YM")&amp;" Mon.",DATEDIF(G23,TODAY(),"M")&amp;" Monate"))</f>
        <v/>
      </c>
      <c r="I23" s="31" t="n">
        <v>46234</v>
      </c>
      <c r="J23" s="17" t="inlineStr">
        <is>
          <t>Kündigung eingegangen</t>
        </is>
      </c>
    </row>
    <row r="24" ht="22" customHeight="1">
      <c r="B24" s="18" t="n">
        <v>14</v>
      </c>
      <c r="C24" s="18" t="inlineStr">
        <is>
          <t>DG</t>
        </is>
      </c>
      <c r="D24" s="18" t="n">
        <v>32</v>
      </c>
      <c r="E24" s="14" t="inlineStr">
        <is>
          <t>Vermietet</t>
        </is>
      </c>
      <c r="F24" s="18" t="inlineStr">
        <is>
          <t>Braun, Felix</t>
        </is>
      </c>
      <c r="G24" s="32" t="n">
        <v>45839</v>
      </c>
      <c r="H24" s="20">
        <f>IF(OR(E24="Frei",G24=""),"—",IF(DATEDIF(G24,TODAY(),"Y")&gt;=1,DATEDIF(G24,TODAY(),"Y")&amp;" J. "&amp;DATEDIF(G24,TODAY(),"YM")&amp;" Mon.",DATEDIF(G24,TODAY(),"M")&amp;" Monate"))</f>
        <v/>
      </c>
      <c r="I24" s="32" t="n">
        <v>46203</v>
      </c>
      <c r="J24" s="21" t="inlineStr">
        <is>
          <t>Studentenvertrag</t>
        </is>
      </c>
    </row>
    <row r="36">
      <c r="B36" s="22" t="inlineStr">
        <is>
          <t>Kurz-Anleitung</t>
        </is>
      </c>
    </row>
    <row r="37" ht="36" customHeight="1">
      <c r="B37" s="23" t="inlineStr">
        <is>
          <t>1) Status per Dropdown setzen (Vermietet / Frei / Gekündigt).  2) Mieter + Einzugsdatum eintragen → Wohndauer berechnet sich automatisch.  3) Bei Auszug: Status auf Frei, Mieter/Einzug leeren.  4) Frühere Mieter optional im Blatt „Historie“ speichern.</t>
        </is>
      </c>
    </row>
  </sheetData>
  <mergeCells count="11">
    <mergeCell ref="D6:E6"/>
    <mergeCell ref="B6:C6"/>
    <mergeCell ref="H6:I6"/>
    <mergeCell ref="B5:C5"/>
    <mergeCell ref="B2:I2"/>
    <mergeCell ref="F5:G5"/>
    <mergeCell ref="D5:E5"/>
    <mergeCell ref="B3:I3"/>
    <mergeCell ref="H5:I5"/>
    <mergeCell ref="F6:G6"/>
    <mergeCell ref="B37:I37"/>
  </mergeCells>
  <conditionalFormatting sqref="E11:E24">
    <cfRule type="cellIs" priority="1" operator="equal" dxfId="0">
      <formula>"Vermietet"</formula>
    </cfRule>
    <cfRule type="cellIs" priority="2" operator="equal" dxfId="1">
      <formula>"Frei"</formula>
    </cfRule>
    <cfRule type="cellIs" priority="3" operator="equal" dxfId="2">
      <formula>"Gekündigt"</formula>
    </cfRule>
  </conditionalFormatting>
  <dataValidations count="1">
    <dataValidation sqref="E11:E24" showDropDown="0" showInputMessage="0" showErrorMessage="0" allowBlank="0" promptTitle="Belegung" prompt="Status wählen" type="list">
      <formula1>"Vermietet,Frei,Gekündigt"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7" customWidth="1" min="2" max="2"/>
    <col width="18" customWidth="1" min="3" max="3"/>
    <col width="12" customWidth="1" min="4" max="4"/>
    <col width="12" customWidth="1" min="5" max="5"/>
    <col width="10" customWidth="1" min="6" max="6"/>
    <col width="18" customWidth="1" min="7" max="7"/>
    <col width="14" customWidth="1" min="8" max="8"/>
    <col width="24" customWidth="1" min="9" max="9"/>
  </cols>
  <sheetData>
    <row r="2">
      <c r="B2" s="24" t="inlineStr">
        <is>
          <t>Auszugs-Historie</t>
        </is>
      </c>
    </row>
    <row r="3">
      <c r="B3" s="2" t="inlineStr">
        <is>
          <t>Alte Mietverhältnisse ablegen — Wohndauer in Monaten wird automatisch berechnet.</t>
        </is>
      </c>
    </row>
    <row r="5">
      <c r="B5" s="13" t="inlineStr">
        <is>
          <t>Whg.</t>
        </is>
      </c>
      <c r="C5" s="13" t="inlineStr">
        <is>
          <t>Mieter</t>
        </is>
      </c>
      <c r="D5" s="13" t="inlineStr">
        <is>
          <t>Einzug</t>
        </is>
      </c>
      <c r="E5" s="13" t="inlineStr">
        <is>
          <t>Auszug</t>
        </is>
      </c>
      <c r="F5" s="13" t="inlineStr">
        <is>
          <t>Monate</t>
        </is>
      </c>
      <c r="G5" s="13" t="inlineStr">
        <is>
          <t>Grund</t>
        </is>
      </c>
      <c r="H5" s="13" t="inlineStr">
        <is>
          <t>Kaution zurück?</t>
        </is>
      </c>
      <c r="I5" s="13" t="inlineStr">
        <is>
          <t>Notiz</t>
        </is>
      </c>
    </row>
    <row r="6">
      <c r="B6" s="14" t="n">
        <v>2</v>
      </c>
      <c r="C6" s="14" t="inlineStr">
        <is>
          <t>Neumann, Sara</t>
        </is>
      </c>
      <c r="D6" s="31" t="n">
        <v>44927</v>
      </c>
      <c r="E6" s="31" t="n">
        <v>46022</v>
      </c>
      <c r="F6" s="16">
        <f>IF(OR(D6="",E6=""),"",DATEDIF(D6,E6,"M"))</f>
        <v/>
      </c>
      <c r="G6" s="14" t="inlineStr">
        <is>
          <t>Jobwechsel</t>
        </is>
      </c>
      <c r="H6" s="14" t="inlineStr">
        <is>
          <t>Ja</t>
        </is>
      </c>
      <c r="I6" s="14" t="inlineStr"/>
    </row>
    <row r="7">
      <c r="B7" s="14" t="n">
        <v>6</v>
      </c>
      <c r="C7" s="14" t="inlineStr">
        <is>
          <t>Koch, Andreas</t>
        </is>
      </c>
      <c r="D7" s="31" t="n">
        <v>44652</v>
      </c>
      <c r="E7" s="31" t="n">
        <v>45991</v>
      </c>
      <c r="F7" s="16">
        <f>IF(OR(D7="",E7=""),"",DATEDIF(D7,E7,"M"))</f>
        <v/>
      </c>
      <c r="G7" s="14" t="inlineStr">
        <is>
          <t>Hauskauf</t>
        </is>
      </c>
      <c r="H7" s="14" t="inlineStr">
        <is>
          <t>Ja</t>
        </is>
      </c>
      <c r="I7" s="14" t="inlineStr"/>
    </row>
    <row r="8">
      <c r="B8" s="14" t="n">
        <v>11</v>
      </c>
      <c r="C8" s="14" t="inlineStr">
        <is>
          <t>Lang, Maria</t>
        </is>
      </c>
      <c r="D8" s="31" t="n">
        <v>45352</v>
      </c>
      <c r="E8" s="31" t="n">
        <v>46037</v>
      </c>
      <c r="F8" s="16">
        <f>IF(OR(D8="",E8=""),"",DATEDIF(D8,E8,"M"))</f>
        <v/>
      </c>
      <c r="G8" s="14" t="inlineStr">
        <is>
          <t>Studium beendet</t>
        </is>
      </c>
      <c r="H8" s="14" t="inlineStr">
        <is>
          <t>Ja</t>
        </is>
      </c>
      <c r="I8" s="14" t="inlineStr"/>
    </row>
    <row r="9">
      <c r="B9" s="25" t="n"/>
      <c r="C9" s="25" t="n"/>
      <c r="D9" s="33" t="n"/>
      <c r="E9" s="33" t="n"/>
      <c r="F9" s="27">
        <f>IF(OR(D9="",E9=""),"",DATEDIF(D9,E9,"M"))</f>
        <v/>
      </c>
      <c r="G9" s="25" t="n"/>
      <c r="H9" s="25" t="n"/>
      <c r="I9" s="25" t="n"/>
    </row>
    <row r="10">
      <c r="B10" s="25" t="n"/>
      <c r="C10" s="25" t="n"/>
      <c r="D10" s="33" t="n"/>
      <c r="E10" s="33" t="n"/>
      <c r="F10" s="27">
        <f>IF(OR(D10="",E10=""),"",DATEDIF(D10,E10,"M"))</f>
        <v/>
      </c>
      <c r="G10" s="25" t="n"/>
      <c r="H10" s="25" t="n"/>
      <c r="I10" s="25" t="n"/>
    </row>
    <row r="11">
      <c r="B11" s="25" t="n"/>
      <c r="C11" s="25" t="n"/>
      <c r="D11" s="33" t="n"/>
      <c r="E11" s="33" t="n"/>
      <c r="F11" s="27">
        <f>IF(OR(D11="",E11=""),"",DATEDIF(D11,E11,"M"))</f>
        <v/>
      </c>
      <c r="G11" s="25" t="n"/>
      <c r="H11" s="25" t="n"/>
      <c r="I11" s="25" t="n"/>
    </row>
    <row r="12">
      <c r="B12" s="25" t="n"/>
      <c r="C12" s="25" t="n"/>
      <c r="D12" s="33" t="n"/>
      <c r="E12" s="33" t="n"/>
      <c r="F12" s="27">
        <f>IF(OR(D12="",E12=""),"",DATEDIF(D12,E12,"M"))</f>
        <v/>
      </c>
      <c r="G12" s="25" t="n"/>
      <c r="H12" s="25" t="n"/>
      <c r="I12" s="25" t="n"/>
    </row>
    <row r="13">
      <c r="B13" s="25" t="n"/>
      <c r="C13" s="25" t="n"/>
      <c r="D13" s="33" t="n"/>
      <c r="E13" s="33" t="n"/>
      <c r="F13" s="27">
        <f>IF(OR(D13="",E13=""),"",DATEDIF(D13,E13,"M"))</f>
        <v/>
      </c>
      <c r="G13" s="25" t="n"/>
      <c r="H13" s="25" t="n"/>
      <c r="I13" s="25" t="n"/>
    </row>
    <row r="14">
      <c r="B14" s="25" t="n"/>
      <c r="C14" s="25" t="n"/>
      <c r="D14" s="33" t="n"/>
      <c r="E14" s="33" t="n"/>
      <c r="F14" s="27">
        <f>IF(OR(D14="",E14=""),"",DATEDIF(D14,E14,"M"))</f>
        <v/>
      </c>
      <c r="G14" s="25" t="n"/>
      <c r="H14" s="25" t="n"/>
      <c r="I14" s="25" t="n"/>
    </row>
    <row r="15">
      <c r="B15" s="25" t="n"/>
      <c r="C15" s="25" t="n"/>
      <c r="D15" s="33" t="n"/>
      <c r="E15" s="33" t="n"/>
      <c r="F15" s="27">
        <f>IF(OR(D15="",E15=""),"",DATEDIF(D15,E15,"M"))</f>
        <v/>
      </c>
      <c r="G15" s="25" t="n"/>
      <c r="H15" s="25" t="n"/>
      <c r="I15" s="25" t="n"/>
    </row>
    <row r="16">
      <c r="B16" s="25" t="n"/>
      <c r="C16" s="25" t="n"/>
      <c r="D16" s="33" t="n"/>
      <c r="E16" s="33" t="n"/>
      <c r="F16" s="27">
        <f>IF(OR(D16="",E16=""),"",DATEDIF(D16,E16,"M"))</f>
        <v/>
      </c>
      <c r="G16" s="25" t="n"/>
      <c r="H16" s="25" t="n"/>
      <c r="I16" s="25" t="n"/>
    </row>
    <row r="17">
      <c r="B17" s="25" t="n"/>
      <c r="C17" s="25" t="n"/>
      <c r="D17" s="33" t="n"/>
      <c r="E17" s="33" t="n"/>
      <c r="F17" s="27">
        <f>IF(OR(D17="",E17=""),"",DATEDIF(D17,E17,"M"))</f>
        <v/>
      </c>
      <c r="G17" s="25" t="n"/>
      <c r="H17" s="25" t="n"/>
      <c r="I17" s="25" t="n"/>
    </row>
    <row r="18">
      <c r="B18" s="25" t="n"/>
      <c r="C18" s="25" t="n"/>
      <c r="D18" s="33" t="n"/>
      <c r="E18" s="33" t="n"/>
      <c r="F18" s="27">
        <f>IF(OR(D18="",E18=""),"",DATEDIF(D18,E18,"M"))</f>
        <v/>
      </c>
      <c r="G18" s="25" t="n"/>
      <c r="H18" s="25" t="n"/>
      <c r="I18" s="25" t="n"/>
    </row>
    <row r="19">
      <c r="B19" s="25" t="n"/>
      <c r="C19" s="25" t="n"/>
      <c r="D19" s="33" t="n"/>
      <c r="E19" s="33" t="n"/>
      <c r="F19" s="27">
        <f>IF(OR(D19="",E19=""),"",DATEDIF(D19,E19,"M"))</f>
        <v/>
      </c>
      <c r="G19" s="25" t="n"/>
      <c r="H19" s="25" t="n"/>
      <c r="I19" s="25" t="n"/>
    </row>
    <row r="20">
      <c r="B20" s="25" t="n"/>
      <c r="C20" s="25" t="n"/>
      <c r="D20" s="33" t="n"/>
      <c r="E20" s="33" t="n"/>
      <c r="F20" s="27">
        <f>IF(OR(D20="",E20=""),"",DATEDIF(D20,E20,"M"))</f>
        <v/>
      </c>
      <c r="G20" s="25" t="n"/>
      <c r="H20" s="25" t="n"/>
      <c r="I20" s="25" t="n"/>
    </row>
    <row r="21">
      <c r="B21" s="25" t="n"/>
      <c r="C21" s="25" t="n"/>
      <c r="D21" s="33" t="n"/>
      <c r="E21" s="33" t="n"/>
      <c r="F21" s="27">
        <f>IF(OR(D21="",E21=""),"",DATEDIF(D21,E21,"M"))</f>
        <v/>
      </c>
      <c r="G21" s="25" t="n"/>
      <c r="H21" s="25" t="n"/>
      <c r="I21" s="25" t="n"/>
    </row>
    <row r="22">
      <c r="B22" s="25" t="n"/>
      <c r="C22" s="25" t="n"/>
      <c r="D22" s="33" t="n"/>
      <c r="E22" s="33" t="n"/>
      <c r="F22" s="27">
        <f>IF(OR(D22="",E22=""),"",DATEDIF(D22,E22,"M"))</f>
        <v/>
      </c>
      <c r="G22" s="25" t="n"/>
      <c r="H22" s="25" t="n"/>
      <c r="I22" s="25" t="n"/>
    </row>
    <row r="23">
      <c r="B23" s="25" t="n"/>
      <c r="C23" s="25" t="n"/>
      <c r="D23" s="33" t="n"/>
      <c r="E23" s="33" t="n"/>
      <c r="F23" s="27">
        <f>IF(OR(D23="",E23=""),"",DATEDIF(D23,E23,"M"))</f>
        <v/>
      </c>
      <c r="G23" s="25" t="n"/>
      <c r="H23" s="25" t="n"/>
      <c r="I23" s="25" t="n"/>
    </row>
    <row r="24">
      <c r="B24" s="25" t="n"/>
      <c r="C24" s="25" t="n"/>
      <c r="D24" s="33" t="n"/>
      <c r="E24" s="33" t="n"/>
      <c r="F24" s="27">
        <f>IF(OR(D24="",E24=""),"",DATEDIF(D24,E24,"M"))</f>
        <v/>
      </c>
      <c r="G24" s="25" t="n"/>
      <c r="H24" s="25" t="n"/>
      <c r="I24" s="25" t="n"/>
    </row>
    <row r="25">
      <c r="B25" s="25" t="n"/>
      <c r="C25" s="25" t="n"/>
      <c r="D25" s="33" t="n"/>
      <c r="E25" s="33" t="n"/>
      <c r="F25" s="27">
        <f>IF(OR(D25="",E25=""),"",DATEDIF(D25,E25,"M"))</f>
        <v/>
      </c>
      <c r="G25" s="25" t="n"/>
      <c r="H25" s="25" t="n"/>
      <c r="I25" s="25" t="n"/>
    </row>
    <row r="26">
      <c r="B26" s="25" t="n"/>
      <c r="C26" s="25" t="n"/>
      <c r="D26" s="33" t="n"/>
      <c r="E26" s="33" t="n"/>
      <c r="F26" s="27">
        <f>IF(OR(D26="",E26=""),"",DATEDIF(D26,E26,"M"))</f>
        <v/>
      </c>
      <c r="G26" s="25" t="n"/>
      <c r="H26" s="25" t="n"/>
      <c r="I26" s="25" t="n"/>
    </row>
    <row r="27">
      <c r="B27" s="25" t="n"/>
      <c r="C27" s="25" t="n"/>
      <c r="D27" s="33" t="n"/>
      <c r="E27" s="33" t="n"/>
      <c r="F27" s="27">
        <f>IF(OR(D27="",E27=""),"",DATEDIF(D27,E27,"M"))</f>
        <v/>
      </c>
      <c r="G27" s="25" t="n"/>
      <c r="H27" s="25" t="n"/>
      <c r="I27" s="25" t="n"/>
    </row>
    <row r="28">
      <c r="B28" s="25" t="n"/>
      <c r="C28" s="25" t="n"/>
      <c r="D28" s="33" t="n"/>
      <c r="E28" s="33" t="n"/>
      <c r="F28" s="27">
        <f>IF(OR(D28="",E28=""),"",DATEDIF(D28,E28,"M"))</f>
        <v/>
      </c>
      <c r="G28" s="25" t="n"/>
      <c r="H28" s="25" t="n"/>
      <c r="I28" s="25" t="n"/>
    </row>
    <row r="29">
      <c r="B29" s="25" t="n"/>
      <c r="C29" s="25" t="n"/>
      <c r="D29" s="33" t="n"/>
      <c r="E29" s="33" t="n"/>
      <c r="F29" s="27">
        <f>IF(OR(D29="",E29=""),"",DATEDIF(D29,E29,"M"))</f>
        <v/>
      </c>
      <c r="G29" s="25" t="n"/>
      <c r="H29" s="25" t="n"/>
      <c r="I29" s="25" t="n"/>
    </row>
    <row r="30">
      <c r="B30" s="25" t="n"/>
      <c r="C30" s="25" t="n"/>
      <c r="D30" s="33" t="n"/>
      <c r="E30" s="33" t="n"/>
      <c r="F30" s="27">
        <f>IF(OR(D30="",E30=""),"",DATEDIF(D30,E30,"M"))</f>
        <v/>
      </c>
      <c r="G30" s="25" t="n"/>
      <c r="H30" s="25" t="n"/>
      <c r="I30" s="25" t="n"/>
    </row>
    <row r="31">
      <c r="B31" s="25" t="n"/>
      <c r="C31" s="25" t="n"/>
      <c r="D31" s="33" t="n"/>
      <c r="E31" s="33" t="n"/>
      <c r="F31" s="27">
        <f>IF(OR(D31="",E31=""),"",DATEDIF(D31,E31,"M"))</f>
        <v/>
      </c>
      <c r="G31" s="25" t="n"/>
      <c r="H31" s="25" t="n"/>
      <c r="I31" s="25" t="n"/>
    </row>
    <row r="32">
      <c r="B32" s="25" t="n"/>
      <c r="C32" s="25" t="n"/>
      <c r="D32" s="33" t="n"/>
      <c r="E32" s="33" t="n"/>
      <c r="F32" s="27">
        <f>IF(OR(D32="",E32=""),"",DATEDIF(D32,E32,"M"))</f>
        <v/>
      </c>
      <c r="G32" s="25" t="n"/>
      <c r="H32" s="25" t="n"/>
      <c r="I32" s="25" t="n"/>
    </row>
    <row r="33">
      <c r="B33" s="25" t="n"/>
      <c r="C33" s="25" t="n"/>
      <c r="D33" s="33" t="n"/>
      <c r="E33" s="33" t="n"/>
      <c r="F33" s="27">
        <f>IF(OR(D33="",E33=""),"",DATEDIF(D33,E33,"M"))</f>
        <v/>
      </c>
      <c r="G33" s="25" t="n"/>
      <c r="H33" s="25" t="n"/>
      <c r="I33" s="25" t="n"/>
    </row>
    <row r="34">
      <c r="B34" s="25" t="n"/>
      <c r="C34" s="25" t="n"/>
      <c r="D34" s="33" t="n"/>
      <c r="E34" s="33" t="n"/>
      <c r="F34" s="27">
        <f>IF(OR(D34="",E34=""),"",DATEDIF(D34,E34,"M"))</f>
        <v/>
      </c>
      <c r="G34" s="25" t="n"/>
      <c r="H34" s="25" t="n"/>
      <c r="I34" s="25" t="n"/>
    </row>
    <row r="35">
      <c r="B35" s="25" t="n"/>
      <c r="C35" s="25" t="n"/>
      <c r="D35" s="33" t="n"/>
      <c r="E35" s="33" t="n"/>
      <c r="F35" s="27">
        <f>IF(OR(D35="",E35=""),"",DATEDIF(D35,E35,"M"))</f>
        <v/>
      </c>
      <c r="G35" s="25" t="n"/>
      <c r="H35" s="25" t="n"/>
      <c r="I35" s="25" t="n"/>
    </row>
  </sheetData>
  <mergeCells count="2">
    <mergeCell ref="B3:H3"/>
    <mergeCell ref="B2:H2"/>
  </mergeCells>
  <dataValidations count="1">
    <dataValidation sqref="H6:H40" showDropDown="0" showInputMessage="0" showErrorMessage="0" allowBlank="1" type="list">
      <formula1>"Ja,Nein,Teilweise"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7" customWidth="1" min="2" max="2"/>
    <col width="9" customWidth="1" min="3" max="3"/>
    <col width="7" customWidth="1" min="4" max="4"/>
    <col width="9" customWidth="1" min="5" max="5"/>
    <col width="12" customWidth="1" min="6" max="6"/>
    <col width="12" customWidth="1" min="7" max="7"/>
    <col width="18" customWidth="1" min="8" max="8"/>
  </cols>
  <sheetData>
    <row r="2">
      <c r="B2" s="24" t="inlineStr">
        <is>
          <t>Wohnungsdaten</t>
        </is>
      </c>
    </row>
    <row r="3">
      <c r="B3" s="2" t="inlineStr">
        <is>
          <t>Feste Angaben pro Wohnung (Größe, Zimmer, Miete).</t>
        </is>
      </c>
    </row>
    <row r="5">
      <c r="B5" s="13" t="inlineStr">
        <is>
          <t>Whg.</t>
        </is>
      </c>
      <c r="C5" s="13" t="inlineStr">
        <is>
          <t>Lage</t>
        </is>
      </c>
      <c r="D5" s="13" t="inlineStr">
        <is>
          <t>m²</t>
        </is>
      </c>
      <c r="E5" s="13" t="inlineStr">
        <is>
          <t>Zimmer</t>
        </is>
      </c>
      <c r="F5" s="13" t="inlineStr">
        <is>
          <t>Kaltmiete €</t>
        </is>
      </c>
      <c r="G5" s="13" t="inlineStr">
        <is>
          <t>Kaution €</t>
        </is>
      </c>
      <c r="H5" s="13" t="inlineStr">
        <is>
          <t>Besonderheiten</t>
        </is>
      </c>
    </row>
    <row r="6">
      <c r="B6" s="14" t="n">
        <v>1</v>
      </c>
      <c r="C6" s="14" t="inlineStr">
        <is>
          <t>EG</t>
        </is>
      </c>
      <c r="D6" s="14" t="n">
        <v>42</v>
      </c>
      <c r="E6" s="14" t="n">
        <v>1.5</v>
      </c>
      <c r="F6" s="28" t="n">
        <v>650</v>
      </c>
      <c r="G6" s="28" t="n">
        <v>1300</v>
      </c>
      <c r="H6" s="14" t="inlineStr">
        <is>
          <t>Balkon</t>
        </is>
      </c>
    </row>
    <row r="7">
      <c r="B7" s="18" t="n">
        <v>2</v>
      </c>
      <c r="C7" s="18" t="inlineStr">
        <is>
          <t>EG</t>
        </is>
      </c>
      <c r="D7" s="18" t="n">
        <v>38</v>
      </c>
      <c r="E7" s="18" t="n">
        <v>1</v>
      </c>
      <c r="F7" s="29" t="n">
        <v>590</v>
      </c>
      <c r="G7" s="29" t="n">
        <v>1180</v>
      </c>
      <c r="H7" s="18" t="inlineStr">
        <is>
          <t>Garten</t>
        </is>
      </c>
    </row>
    <row r="8">
      <c r="B8" s="14" t="n">
        <v>3</v>
      </c>
      <c r="C8" s="14" t="inlineStr">
        <is>
          <t>EG</t>
        </is>
      </c>
      <c r="D8" s="14" t="n">
        <v>55</v>
      </c>
      <c r="E8" s="14" t="n">
        <v>2</v>
      </c>
      <c r="F8" s="28" t="n">
        <v>820</v>
      </c>
      <c r="G8" s="28" t="n">
        <v>1640</v>
      </c>
      <c r="H8" s="14" t="inlineStr">
        <is>
          <t>Balkon</t>
        </is>
      </c>
    </row>
    <row r="9">
      <c r="B9" s="18" t="n">
        <v>4</v>
      </c>
      <c r="C9" s="18" t="inlineStr">
        <is>
          <t>1. OG</t>
        </is>
      </c>
      <c r="D9" s="18" t="n">
        <v>48</v>
      </c>
      <c r="E9" s="18" t="n">
        <v>2</v>
      </c>
      <c r="F9" s="29" t="n">
        <v>720</v>
      </c>
      <c r="G9" s="29" t="n">
        <v>1440</v>
      </c>
      <c r="H9" s="18" t="inlineStr">
        <is>
          <t>Balkon</t>
        </is>
      </c>
    </row>
    <row r="10">
      <c r="B10" s="14" t="n">
        <v>5</v>
      </c>
      <c r="C10" s="14" t="inlineStr">
        <is>
          <t>1. OG</t>
        </is>
      </c>
      <c r="D10" s="14" t="n">
        <v>52</v>
      </c>
      <c r="E10" s="14" t="n">
        <v>2</v>
      </c>
      <c r="F10" s="28" t="n">
        <v>780</v>
      </c>
      <c r="G10" s="28" t="n">
        <v>1560</v>
      </c>
      <c r="H10" s="14" t="inlineStr">
        <is>
          <t>Balkon</t>
        </is>
      </c>
    </row>
    <row r="11">
      <c r="B11" s="18" t="n">
        <v>6</v>
      </c>
      <c r="C11" s="18" t="inlineStr">
        <is>
          <t>1. OG</t>
        </is>
      </c>
      <c r="D11" s="18" t="n">
        <v>36</v>
      </c>
      <c r="E11" s="18" t="n">
        <v>1</v>
      </c>
      <c r="F11" s="29" t="n">
        <v>560</v>
      </c>
      <c r="G11" s="29" t="n">
        <v>1120</v>
      </c>
      <c r="H11" s="18" t="n"/>
    </row>
    <row r="12">
      <c r="B12" s="14" t="n">
        <v>7</v>
      </c>
      <c r="C12" s="14" t="inlineStr">
        <is>
          <t>2. OG</t>
        </is>
      </c>
      <c r="D12" s="14" t="n">
        <v>60</v>
      </c>
      <c r="E12" s="14" t="n">
        <v>2.5</v>
      </c>
      <c r="F12" s="28" t="n">
        <v>890</v>
      </c>
      <c r="G12" s="28" t="n">
        <v>1780</v>
      </c>
      <c r="H12" s="14" t="inlineStr">
        <is>
          <t>Balkon + Keller</t>
        </is>
      </c>
    </row>
    <row r="13">
      <c r="B13" s="18" t="n">
        <v>8</v>
      </c>
      <c r="C13" s="18" t="inlineStr">
        <is>
          <t>2. OG</t>
        </is>
      </c>
      <c r="D13" s="18" t="n">
        <v>45</v>
      </c>
      <c r="E13" s="18" t="n">
        <v>1.5</v>
      </c>
      <c r="F13" s="29" t="n">
        <v>680</v>
      </c>
      <c r="G13" s="29" t="n">
        <v>1360</v>
      </c>
      <c r="H13" s="18" t="inlineStr">
        <is>
          <t>Balkon</t>
        </is>
      </c>
    </row>
    <row r="14">
      <c r="B14" s="14" t="n">
        <v>9</v>
      </c>
      <c r="C14" s="14" t="inlineStr">
        <is>
          <t>2. OG</t>
        </is>
      </c>
      <c r="D14" s="14" t="n">
        <v>40</v>
      </c>
      <c r="E14" s="14" t="n">
        <v>1.5</v>
      </c>
      <c r="F14" s="28" t="n">
        <v>620</v>
      </c>
      <c r="G14" s="28" t="n">
        <v>1240</v>
      </c>
      <c r="H14" s="14" t="n"/>
    </row>
    <row r="15">
      <c r="B15" s="18" t="n">
        <v>10</v>
      </c>
      <c r="C15" s="18" t="inlineStr">
        <is>
          <t>3. OG</t>
        </is>
      </c>
      <c r="D15" s="18" t="n">
        <v>70</v>
      </c>
      <c r="E15" s="18" t="n">
        <v>3</v>
      </c>
      <c r="F15" s="29" t="n">
        <v>1050</v>
      </c>
      <c r="G15" s="29" t="n">
        <v>2100</v>
      </c>
      <c r="H15" s="18" t="inlineStr">
        <is>
          <t>Loft / Terrasse</t>
        </is>
      </c>
    </row>
    <row r="16">
      <c r="B16" s="14" t="n">
        <v>11</v>
      </c>
      <c r="C16" s="14" t="inlineStr">
        <is>
          <t>3. OG</t>
        </is>
      </c>
      <c r="D16" s="14" t="n">
        <v>44</v>
      </c>
      <c r="E16" s="14" t="n">
        <v>1.5</v>
      </c>
      <c r="F16" s="28" t="n">
        <v>670</v>
      </c>
      <c r="G16" s="28" t="n">
        <v>1340</v>
      </c>
      <c r="H16" s="14" t="inlineStr">
        <is>
          <t>Balkon</t>
        </is>
      </c>
    </row>
    <row r="17">
      <c r="B17" s="18" t="n">
        <v>12</v>
      </c>
      <c r="C17" s="18" t="inlineStr">
        <is>
          <t>3. OG</t>
        </is>
      </c>
      <c r="D17" s="18" t="n">
        <v>50</v>
      </c>
      <c r="E17" s="18" t="n">
        <v>2</v>
      </c>
      <c r="F17" s="29" t="n">
        <v>750</v>
      </c>
      <c r="G17" s="29" t="n">
        <v>1500</v>
      </c>
      <c r="H17" s="18" t="inlineStr">
        <is>
          <t>Balkon</t>
        </is>
      </c>
    </row>
    <row r="18">
      <c r="B18" s="14" t="n">
        <v>13</v>
      </c>
      <c r="C18" s="14" t="inlineStr">
        <is>
          <t>DG</t>
        </is>
      </c>
      <c r="D18" s="14" t="n">
        <v>35</v>
      </c>
      <c r="E18" s="14" t="n">
        <v>1</v>
      </c>
      <c r="F18" s="28" t="n">
        <v>540</v>
      </c>
      <c r="G18" s="28" t="n">
        <v>1080</v>
      </c>
      <c r="H18" s="14" t="inlineStr">
        <is>
          <t>Dachfenster</t>
        </is>
      </c>
    </row>
    <row r="19">
      <c r="B19" s="18" t="n">
        <v>14</v>
      </c>
      <c r="C19" s="18" t="inlineStr">
        <is>
          <t>DG</t>
        </is>
      </c>
      <c r="D19" s="18" t="n">
        <v>32</v>
      </c>
      <c r="E19" s="18" t="n">
        <v>1</v>
      </c>
      <c r="F19" s="29" t="n">
        <v>510</v>
      </c>
      <c r="G19" s="29" t="n">
        <v>1020</v>
      </c>
      <c r="H19" s="18" t="inlineStr">
        <is>
          <t>Dachfenster</t>
        </is>
      </c>
    </row>
    <row r="21">
      <c r="B21" s="9" t="inlineStr">
        <is>
          <t>Summe Kaltmiete (Vollvermietung)</t>
        </is>
      </c>
      <c r="F21" s="34">
        <f>SUM(F6:F19)</f>
        <v/>
      </c>
    </row>
  </sheetData>
  <mergeCells count="2">
    <mergeCell ref="B2:G2"/>
    <mergeCell ref="B21:E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2026-08-03T13:15:53Z</dcterms:created>
  <dcterms:modified xsi:type="dcterms:W3CDTF">2026-08-03T13:16:05Z</dcterms:modified>
</cp:coreProperties>
</file>